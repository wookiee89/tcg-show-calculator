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gle Card Calculator" sheetId="1" state="visible" r:id="rId3"/>
    <sheet name="Offer Rate Reference" sheetId="2" state="visible" r:id="rId4"/>
    <sheet name="Batch Offer Workshe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<sst xmlns="http://schemas.openxmlformats.org/spreadsheetml/2006/main" count="353" uniqueCount="175">
  <si>
    <t xml:space="preserve">MISPRINT.COM — OFFER CALCULATOR</t>
  </si>
  <si>
    <t xml:space="preserve">Enter values in BLUE cells. All other cells auto-calculate. Buyer fees = shipping only.</t>
  </si>
  <si>
    <t xml:space="preserve">BUYER FEE STRUCTURE</t>
  </si>
  <si>
    <t xml:space="preserve">Shipping (Raw / Ungraded)</t>
  </si>
  <si>
    <t xml:space="preserve">Flat per-order for raw cards</t>
  </si>
  <si>
    <t xml:space="preserve">Shipping (Graded / Slab)</t>
  </si>
  <si>
    <t xml:space="preserve">Flat per-order for graded slabs (PSA, CGC, BGS)</t>
  </si>
  <si>
    <t xml:space="preserve">Platform Fee / Stripe</t>
  </si>
  <si>
    <t xml:space="preserve">N/A</t>
  </si>
  <si>
    <t xml:space="preserve">Paid by SELLER, not buyer</t>
  </si>
  <si>
    <t xml:space="preserve">CARD DETAILS — Enter in blue cells</t>
  </si>
  <si>
    <t xml:space="preserve">Market Value (eBay comps / TCGPlayer)</t>
  </si>
  <si>
    <t xml:space="preserve">Card Type</t>
  </si>
  <si>
    <t xml:space="preserve">PSA</t>
  </si>
  <si>
    <t xml:space="preserve">PSA, CGC, BGS, or Raw</t>
  </si>
  <si>
    <t xml:space="preserve">Grade / Condition</t>
  </si>
  <si>
    <t xml:space="preserve">10</t>
  </si>
  <si>
    <t xml:space="preserve">Graded: 10, 9.5, 9, 8.5, 8, 7-, BL (BGS only). Raw: NM, LP, MP, HP, DM</t>
  </si>
  <si>
    <t xml:space="preserve">Era</t>
  </si>
  <si>
    <t xml:space="preserve">Modern</t>
  </si>
  <si>
    <t xml:space="preserve">Modern or Vintage (WOTC-era, pre-2003)</t>
  </si>
  <si>
    <t xml:space="preserve">RESULTS</t>
  </si>
  <si>
    <t xml:space="preserve">Recommended Offer %</t>
  </si>
  <si>
    <t xml:space="preserve">Your Offer (type into Misprint)</t>
  </si>
  <si>
    <t xml:space="preserve">+ Shipping</t>
  </si>
  <si>
    <t xml:space="preserve">TOTAL OUT OF POCKET</t>
  </si>
  <si>
    <t xml:space="preserve">True % of Market (incl. shipping)</t>
  </si>
  <si>
    <t xml:space="preserve">RESALE ANALYSIS</t>
  </si>
  <si>
    <t xml:space="preserve">eBay Resale Net</t>
  </si>
  <si>
    <t xml:space="preserve">Shopify Resale Net</t>
  </si>
  <si>
    <t xml:space="preserve">In-Person Resale Net</t>
  </si>
  <si>
    <t xml:space="preserve">eBay Profit</t>
  </si>
  <si>
    <t xml:space="preserve">Shopify Profit</t>
  </si>
  <si>
    <t xml:space="preserve">In-Person Profit</t>
  </si>
  <si>
    <t xml:space="preserve">Best Channel &amp; ROI</t>
  </si>
  <si>
    <t xml:space="preserve">MISPRINT.COM — COMPLETE OFFER RATE MATRIX</t>
  </si>
  <si>
    <t xml:space="preserve">All rates are % of eBay sold comps (graded) or TCGPlayer Market (raw). Buyer pays shipping only ($5 graded, $2.50 raw). No iconic card premium — a PSA 9 is a PSA 9.</t>
  </si>
  <si>
    <t xml:space="preserve">PSA — Most Liquid, Highest Premiums</t>
  </si>
  <si>
    <t xml:space="preserve">Offer %</t>
  </si>
  <si>
    <t xml:space="preserve">Shipping</t>
  </si>
  <si>
    <t xml:space="preserve">True Cost
($100 card)</t>
  </si>
  <si>
    <t xml:space="preserve">Out of
Pocket</t>
  </si>
  <si>
    <t xml:space="preserve">Sell Channel</t>
  </si>
  <si>
    <t xml:space="preserve">Notes</t>
  </si>
  <si>
    <t xml:space="preserve">PSA 10 Modern</t>
  </si>
  <si>
    <t xml:space="preserve">71%</t>
  </si>
  <si>
    <t xml:space="preserve">$5.00</t>
  </si>
  <si>
    <t xml:space="preserve">$71</t>
  </si>
  <si>
    <t xml:space="preserve">$76</t>
  </si>
  <si>
    <t xml:space="preserve">Shows + FB</t>
  </si>
  <si>
    <t xml:space="preserve">Sweet spot. Highest demand, fastest movers.</t>
  </si>
  <si>
    <t xml:space="preserve">PSA 10 Vintage (WOTC)</t>
  </si>
  <si>
    <t xml:space="preserve">73%</t>
  </si>
  <si>
    <t xml:space="preserve">$73</t>
  </si>
  <si>
    <t xml:space="preserve">$78</t>
  </si>
  <si>
    <t xml:space="preserve">Collector demand strong. Worth paying up.</t>
  </si>
  <si>
    <t xml:space="preserve">PSA 9 (any)</t>
  </si>
  <si>
    <t xml:space="preserve">62%</t>
  </si>
  <si>
    <t xml:space="preserve">$62</t>
  </si>
  <si>
    <t xml:space="preserve">$67</t>
  </si>
  <si>
    <t xml:space="preserve">40–60% price gap vs PSA 10. Same rate regardless of card.</t>
  </si>
  <si>
    <t xml:space="preserve">PSA 8 Vintage</t>
  </si>
  <si>
    <t xml:space="preserve">Shows + eBay</t>
  </si>
  <si>
    <t xml:space="preserve">WOTC collectors accept any grade.</t>
  </si>
  <si>
    <t xml:space="preserve">PSA 8 Modern</t>
  </si>
  <si>
    <t xml:space="preserve">55%</t>
  </si>
  <si>
    <t xml:space="preserve">$55</t>
  </si>
  <si>
    <t xml:space="preserve">$60</t>
  </si>
  <si>
    <t xml:space="preserve">eBay + Shows</t>
  </si>
  <si>
    <t xml:space="preserve">Hard to move at premium over raw NM.</t>
  </si>
  <si>
    <t xml:space="preserve">PSA 7 &amp; below Vintage</t>
  </si>
  <si>
    <t xml:space="preserve">eBay</t>
  </si>
  <si>
    <t xml:space="preserve">Only WOTC-era. Niche collector audience.</t>
  </si>
  <si>
    <t xml:space="preserve">PSA 7 &amp; below Modern</t>
  </si>
  <si>
    <t xml:space="preserve">PASS</t>
  </si>
  <si>
    <t xml:space="preserve">—</t>
  </si>
  <si>
    <t xml:space="preserve">No demand. Don’t buy.</t>
  </si>
  <si>
    <t xml:space="preserve">CGC — Slightly Less Liquid, Lower Premiums</t>
  </si>
  <si>
    <t xml:space="preserve">CGC 10 Perfect</t>
  </si>
  <si>
    <t xml:space="preserve">68%</t>
  </si>
  <si>
    <t xml:space="preserve">$68</t>
  </si>
  <si>
    <t xml:space="preserve">Rare. Smaller buyer pool than PSA 10.</t>
  </si>
  <si>
    <t xml:space="preserve">CGC 9.5 Modern</t>
  </si>
  <si>
    <t xml:space="preserve">67%</t>
  </si>
  <si>
    <t xml:space="preserve">$72</t>
  </si>
  <si>
    <t xml:space="preserve">Closest CGC equivalent to PSA 10.</t>
  </si>
  <si>
    <t xml:space="preserve">CGC 9.5 Vintage</t>
  </si>
  <si>
    <t xml:space="preserve">70%</t>
  </si>
  <si>
    <t xml:space="preserve">$70</t>
  </si>
  <si>
    <t xml:space="preserve">$75</t>
  </si>
  <si>
    <t xml:space="preserve">Strong vintage demand in any slab.</t>
  </si>
  <si>
    <t xml:space="preserve">CGC 9 (any)</t>
  </si>
  <si>
    <t xml:space="preserve">58%</t>
  </si>
  <si>
    <t xml:space="preserve">$58</t>
  </si>
  <si>
    <t xml:space="preserve">$63</t>
  </si>
  <si>
    <t xml:space="preserve">Same rate regardless of card. Slower than PSA 9.</t>
  </si>
  <si>
    <t xml:space="preserve">CGC 8.5 Vintage</t>
  </si>
  <si>
    <t xml:space="preserve">WOTC collectors less picky on company.</t>
  </si>
  <si>
    <t xml:space="preserve">CGC 8.5 Modern</t>
  </si>
  <si>
    <t xml:space="preserve">52%</t>
  </si>
  <si>
    <t xml:space="preserve">$52</t>
  </si>
  <si>
    <t xml:space="preserve">$57</t>
  </si>
  <si>
    <t xml:space="preserve">Marginal. Only if great price.</t>
  </si>
  <si>
    <t xml:space="preserve">CGC 8 &amp; below Vintage</t>
  </si>
  <si>
    <t xml:space="preserve">Niche. Only WOTC-era.</t>
  </si>
  <si>
    <t xml:space="preserve">CGC 8 &amp; below Modern</t>
  </si>
  <si>
    <t xml:space="preserve">BGS — Subgrades Matter, Less Liquid for Pokémon</t>
  </si>
  <si>
    <t xml:space="preserve">BGS 10 Black Label</t>
  </si>
  <si>
    <t xml:space="preserve">75%</t>
  </si>
  <si>
    <t xml:space="preserve">$80</t>
  </si>
  <si>
    <t xml:space="preserve">Ultra rare. Massive premium. Always buy.</t>
  </si>
  <si>
    <t xml:space="preserve">BGS 10 Pristine</t>
  </si>
  <si>
    <t xml:space="preserve">72%</t>
  </si>
  <si>
    <t xml:space="preserve">$77</t>
  </si>
  <si>
    <t xml:space="preserve">Strong demand but fewer buyers than PSA 10.</t>
  </si>
  <si>
    <t xml:space="preserve">BGS 9.5 Modern</t>
  </si>
  <si>
    <t xml:space="preserve">Roughly equivalent to PSA 10 perception.</t>
  </si>
  <si>
    <t xml:space="preserve">BGS 9.5 Vintage</t>
  </si>
  <si>
    <t xml:space="preserve">Vintage WOTC in BGS slab has collector appeal.</t>
  </si>
  <si>
    <t xml:space="preserve">BGS 9 (any)</t>
  </si>
  <si>
    <t xml:space="preserve">Same rate regardless of card. Slow movers.</t>
  </si>
  <si>
    <t xml:space="preserve">BGS 8.5 &amp; below Vintage</t>
  </si>
  <si>
    <t xml:space="preserve">WOTC-era only.</t>
  </si>
  <si>
    <t xml:space="preserve">BGS 8.5 &amp; below Modern</t>
  </si>
  <si>
    <t xml:space="preserve">RAW (Ungraded) — Condition-Based</t>
  </si>
  <si>
    <t xml:space="preserve">Raw NM ($15–$50)</t>
  </si>
  <si>
    <t xml:space="preserve">$2.50</t>
  </si>
  <si>
    <t xml:space="preserve">$72.50</t>
  </si>
  <si>
    <t xml:space="preserve">eBay + Shopify</t>
  </si>
  <si>
    <t xml:space="preserve">Good volume range for online resale.</t>
  </si>
  <si>
    <t xml:space="preserve">Raw NM ($50+)</t>
  </si>
  <si>
    <t xml:space="preserve">$74.50</t>
  </si>
  <si>
    <t xml:space="preserve">Shopify + Shows</t>
  </si>
  <si>
    <t xml:space="preserve">Higher value = more room.</t>
  </si>
  <si>
    <t xml:space="preserve">Raw LP ($15–$50)</t>
  </si>
  <si>
    <t xml:space="preserve">60%</t>
  </si>
  <si>
    <t xml:space="preserve">$62.50</t>
  </si>
  <si>
    <t xml:space="preserve">LP condition discount.</t>
  </si>
  <si>
    <t xml:space="preserve">Raw LP ($50+)</t>
  </si>
  <si>
    <t xml:space="preserve">63%</t>
  </si>
  <si>
    <t xml:space="preserve">$65.50</t>
  </si>
  <si>
    <t xml:space="preserve">Still tradeable at LP for high-value.</t>
  </si>
  <si>
    <t xml:space="preserve">Raw MP ($15–$50)</t>
  </si>
  <si>
    <t xml:space="preserve">50%</t>
  </si>
  <si>
    <t xml:space="preserve">$50</t>
  </si>
  <si>
    <t xml:space="preserve">$52.50</t>
  </si>
  <si>
    <t xml:space="preserve">Significant condition discount.</t>
  </si>
  <si>
    <t xml:space="preserve">Raw MP ($50+)</t>
  </si>
  <si>
    <t xml:space="preserve">53%</t>
  </si>
  <si>
    <t xml:space="preserve">$53</t>
  </si>
  <si>
    <t xml:space="preserve">$55.50</t>
  </si>
  <si>
    <t xml:space="preserve">Only if high-demand and photos confirm.</t>
  </si>
  <si>
    <t xml:space="preserve">Raw HP (any)</t>
  </si>
  <si>
    <t xml:space="preserve">40%</t>
  </si>
  <si>
    <t xml:space="preserve">$40</t>
  </si>
  <si>
    <t xml:space="preserve">$42.50</t>
  </si>
  <si>
    <t xml:space="preserve">Heavy play. Only high-demand cards.</t>
  </si>
  <si>
    <t xml:space="preserve">Raw Damaged (any)</t>
  </si>
  <si>
    <t xml:space="preserve">30%</t>
  </si>
  <si>
    <t xml:space="preserve">$30</t>
  </si>
  <si>
    <t xml:space="preserve">$32.50</t>
  </si>
  <si>
    <t xml:space="preserve">Creased, torn, water damage.</t>
  </si>
  <si>
    <t xml:space="preserve">MISPRINT BATCH OFFER WORKSHEET</t>
  </si>
  <si>
    <t xml:space="preserve">Enter market value, card type, grade, and era. Offer and profit auto-calculate. No iconic modifier.</t>
  </si>
  <si>
    <t xml:space="preserve">#</t>
  </si>
  <si>
    <t xml:space="preserve">Card Name</t>
  </si>
  <si>
    <t xml:space="preserve">Market
Value</t>
  </si>
  <si>
    <t xml:space="preserve">Type
(PSA/CGC/BGS/Raw)</t>
  </si>
  <si>
    <t xml:space="preserve">Grade /
Condition</t>
  </si>
  <si>
    <t xml:space="preserve">Era
(Mod/Vint)</t>
  </si>
  <si>
    <t xml:space="preserve">Offer $</t>
  </si>
  <si>
    <t xml:space="preserve">Ship</t>
  </si>
  <si>
    <t xml:space="preserve">Total
OOP</t>
  </si>
  <si>
    <t xml:space="preserve">Est. Profit
(in-person)</t>
  </si>
  <si>
    <t xml:space="preserve">TOTALS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</si>
</sst>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i val="true"/>
      <sz val="10"/>
      <color rgb="FF999999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b val="true"/>
      <sz val="14"/>
      <color rgb="FF375623"/>
      <name val="Cambria"/>
      <family val="0"/>
      <charset val="1"/>
    </font>
    <font>
      <i val="true"/>
      <sz val="10"/>
      <color rgb="FFC00000"/>
      <name val="Cambria"/>
      <family val="0"/>
      <charset val="1"/>
    </font>
    <font>
      <b val="true"/>
      <sz val="16"/>
      <color rgb="FF0000FF"/>
      <name val="Cambria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2"/>
      <color rgb="FF375623"/>
      <name val="Cambria"/>
      <family val="0"/>
      <charset val="1"/>
    </font>
    <font>
      <b val="true"/>
      <sz val="10"/>
      <color rgb="FF375623"/>
      <name val="Cambria"/>
      <family val="0"/>
      <charset val="1"/>
    </font>
    <font>
      <b val="true"/>
      <sz val="14"/>
      <color rgb="FF2F5496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375623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2F5496"/>
        <bgColor rgb="FF1F4E79"/>
      </patternFill>
    </fill>
    <fill>
      <patternFill patternType="solid">
        <fgColor rgb="FFDAEEF3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FDE9D9"/>
        <bgColor rgb="FFFFF2CC"/>
      </patternFill>
    </fill>
    <fill>
      <patternFill patternType="solid">
        <fgColor rgb="FFBF8F00"/>
        <bgColor rgb="FFFF6600"/>
      </patternFill>
    </fill>
    <fill>
      <patternFill patternType="solid">
        <fgColor rgb="FF1F4E79"/>
        <bgColor rgb="FF2F5496"/>
      </patternFill>
    </fill>
    <fill>
      <patternFill patternType="solid">
        <fgColor rgb="FFF2F2F2"/>
        <bgColor rgb="FFFDE9D9"/>
      </patternFill>
    </fill>
    <fill>
      <patternFill patternType="solid">
        <fgColor rgb="FFF4CCCC"/>
        <bgColor rgb="FFFDE9D9"/>
      </patternFill>
    </fill>
    <fill>
      <patternFill patternType="solid">
        <fgColor rgb="FF4472C4"/>
        <bgColor rgb="FF2F5496"/>
      </patternFill>
    </fill>
    <fill>
      <patternFill patternType="solid">
        <fgColor rgb="FF833C0B"/>
        <bgColor rgb="FF993366"/>
      </patternFill>
    </fill>
    <fill>
      <patternFill patternType="solid">
        <fgColor rgb="FF548235"/>
        <bgColor rgb="FF666666"/>
      </patternFill>
    </fill>
    <fill>
      <patternFill patternType="solid">
        <fgColor rgb="FFFFF2CC"/>
        <bgColor rgb="FFFDE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DE9D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BF8F00"/>
      <rgbColor rgb="FFFF6600"/>
      <rgbColor rgb="FF666666"/>
      <rgbColor rgb="FF999999"/>
      <rgbColor rgb="FF1F4E79"/>
      <rgbColor rgb="FF339966"/>
      <rgbColor rgb="FF003300"/>
      <rgbColor rgb="FF333300"/>
      <rgbColor rgb="FF833C0B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8" min="5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n">
        <v>2.5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5</v>
      </c>
      <c r="C6" s="6" t="s">
        <v>6</v>
      </c>
    </row>
    <row r="7" customFormat="false" ht="15" hidden="false" customHeight="false" outlineLevel="0" collapsed="false">
      <c r="A7" s="4" t="s">
        <v>7</v>
      </c>
      <c r="B7" s="7" t="s">
        <v>8</v>
      </c>
      <c r="C7" s="6" t="s">
        <v>9</v>
      </c>
    </row>
    <row r="9" customFormat="false" ht="15" hidden="false" customHeight="false" outlineLevel="0" collapsed="false">
      <c r="A9" s="8" t="s">
        <v>10</v>
      </c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9" t="s">
        <v>11</v>
      </c>
      <c r="B10" s="9"/>
      <c r="C10" s="10" t="n">
        <v>100</v>
      </c>
    </row>
    <row r="11" customFormat="false" ht="15" hidden="false" customHeight="false" outlineLevel="0" collapsed="false">
      <c r="A11" s="9" t="s">
        <v>12</v>
      </c>
      <c r="B11" s="9"/>
      <c r="C11" s="11" t="s">
        <v>13</v>
      </c>
      <c r="D11" s="12" t="s">
        <v>14</v>
      </c>
      <c r="E11" s="12"/>
      <c r="F11" s="12"/>
      <c r="G11" s="12"/>
      <c r="H11" s="12"/>
    </row>
    <row r="12" customFormat="false" ht="15" hidden="false" customHeight="false" outlineLevel="0" collapsed="false">
      <c r="A12" s="9" t="s">
        <v>15</v>
      </c>
      <c r="B12" s="9"/>
      <c r="C12" s="11" t="s">
        <v>16</v>
      </c>
      <c r="D12" s="12" t="s">
        <v>17</v>
      </c>
      <c r="E12" s="12"/>
      <c r="F12" s="12"/>
      <c r="G12" s="12"/>
      <c r="H12" s="12"/>
    </row>
    <row r="13" customFormat="false" ht="15" hidden="false" customHeight="false" outlineLevel="0" collapsed="false">
      <c r="A13" s="9" t="s">
        <v>18</v>
      </c>
      <c r="B13" s="9"/>
      <c r="C13" s="11" t="s">
        <v>19</v>
      </c>
      <c r="D13" s="12" t="s">
        <v>20</v>
      </c>
      <c r="E13" s="12"/>
      <c r="F13" s="12"/>
      <c r="G13" s="12"/>
      <c r="H13" s="12"/>
    </row>
    <row r="15" customFormat="false" ht="15" hidden="false" customHeight="false" outlineLevel="0" collapsed="false">
      <c r="A15" s="13" t="s">
        <v>21</v>
      </c>
      <c r="B15" s="13"/>
      <c r="C15" s="13"/>
      <c r="D15" s="13"/>
      <c r="E15" s="13"/>
      <c r="F15" s="13"/>
      <c r="G15" s="13"/>
      <c r="H15" s="13"/>
    </row>
    <row r="16" customFormat="false" ht="17.35" hidden="false" customHeight="false" outlineLevel="0" collapsed="false">
      <c r="A16" s="14" t="s">
        <v>22</v>
      </c>
      <c r="B16" s="14"/>
      <c r="C16" s="15" t="n">
        <f aca="false">IF(AND(C11="PSA",C12="10",C13="Vintage"),0.73,IF(AND(C11="PSA",C12="10"),0.71,IF(AND(C11="PSA",C12="9"),0.62,IF(AND(C11="PSA",C12="8",C13="Vintage"),0.62,IF(AND(C11="PSA",C12="8"),0.55,IF(AND(C11="PSA",OR(C12="7-",C12="8.5"),C13="Vintage"),0.55,IF(AND(C11="PSA",OR(C12="7-",C12="8.5")),0,IF(AND(C11="CGC",C12="10"),0.68,IF(AND(C11="CGC",C12="9.5",C13="Vintage"),0.7,IF(AND(C11="CGC",C12="9.5"),0.67,IF(AND(C11="CGC",C12="9"),0.58,IF(AND(C11="CGC",C12="8.5",C13="Vintage"),0.58,IF(AND(C11="CGC",C12="8.5"),0.52,IF(AND(C11="CGC",OR(C12="8",C12="7-"),C13="Vintage"),0.52,IF(AND(C11="CGC",OR(C12="8",C12="7-")),0,IF(AND(C11="BGS",C12="BL"),0.75,IF(AND(C11="BGS",C12="10"),0.72,IF(AND(C11="BGS",C12="9.5",C13="Vintage"),0.7,IF(AND(C11="BGS",C12="9.5"),0.67,IF(AND(C11="BGS",C12="9"),0.58,IF(AND(C11="BGS",OR(C12="8.5",C12="8",C12="7-"),C13="Vintage"),0.55,IF(AND(C11="BGS",OR(C12="8.5",C12="8",C12="7-")),0,IF(AND(C11="Raw",C12="NM",C10&gt;=50),0.72,IF(AND(C11="Raw",C12="NM"),0.7,IF(AND(C11="Raw",C12="LP",C10&gt;=50),0.63,IF(AND(C11="Raw",C12="LP"),0.6,IF(AND(C11="Raw",C12="MP",C10&gt;=50),0.53,IF(AND(C11="Raw",C12="MP"),0.5,IF(AND(C11="Raw",C12="HP"),0.4,IF(AND(C11="Raw",C12="DM"),0.3,0))))))))))))))))))))))))))))))</f>
        <v>0.71</v>
      </c>
      <c r="D16" s="16" t="str">
        <f aca="false">IF(C16=0,"PASS — Do not buy this type/grade/era combination","Based on: "&amp;C11&amp;" "&amp;C12&amp;" "&amp;C13)</f>
        <v>Based on: PSA 10 Modern</v>
      </c>
      <c r="E16" s="16"/>
      <c r="F16" s="16"/>
      <c r="G16" s="16"/>
      <c r="H16" s="16"/>
    </row>
    <row r="17" customFormat="false" ht="19.7" hidden="false" customHeight="false" outlineLevel="0" collapsed="false">
      <c r="A17" s="14" t="s">
        <v>23</v>
      </c>
      <c r="B17" s="14"/>
      <c r="C17" s="17" t="n">
        <f aca="false">IF(C16=0,"PASS",ROUND(C10*C16,0))</f>
        <v>71</v>
      </c>
    </row>
    <row r="18" customFormat="false" ht="15" hidden="false" customHeight="false" outlineLevel="0" collapsed="false">
      <c r="A18" s="18" t="s">
        <v>24</v>
      </c>
      <c r="B18" s="18"/>
      <c r="C18" s="19" t="n">
        <f aca="false">IF(C11="Raw",2.5,5)</f>
        <v>5</v>
      </c>
    </row>
    <row r="19" customFormat="false" ht="17.35" hidden="false" customHeight="false" outlineLevel="0" collapsed="false">
      <c r="A19" s="20" t="s">
        <v>25</v>
      </c>
      <c r="B19" s="20"/>
      <c r="C19" s="21" t="n">
        <f aca="false">IF(C16=0,"PASS",C17+C18)</f>
        <v>76</v>
      </c>
    </row>
    <row r="20" customFormat="false" ht="15" hidden="false" customHeight="false" outlineLevel="0" collapsed="false">
      <c r="A20" s="14" t="s">
        <v>26</v>
      </c>
      <c r="B20" s="14"/>
      <c r="C20" s="22" t="n">
        <f aca="false">IF(OR(C16=0,C10=0),"N/A",C19/C10)</f>
        <v>0.76</v>
      </c>
    </row>
    <row r="22" customFormat="false" ht="15" hidden="false" customHeight="false" outlineLevel="0" collapsed="false">
      <c r="A22" s="23" t="s">
        <v>27</v>
      </c>
      <c r="B22" s="23"/>
      <c r="C22" s="23"/>
      <c r="D22" s="23"/>
      <c r="E22" s="23"/>
      <c r="F22" s="23"/>
      <c r="G22" s="23"/>
      <c r="H22" s="23"/>
    </row>
    <row r="23" customFormat="false" ht="15" hidden="false" customHeight="false" outlineLevel="0" collapsed="false">
      <c r="A23" s="18" t="s">
        <v>28</v>
      </c>
      <c r="B23" s="18"/>
      <c r="C23" s="19" t="n">
        <f aca="false">C10*(1-0.1325)-IF(C10&gt;10,0.4,0.3)-IF(C11="Raw",0.93,4.5)</f>
        <v>81.85</v>
      </c>
    </row>
    <row r="24" customFormat="false" ht="15" hidden="false" customHeight="false" outlineLevel="0" collapsed="false">
      <c r="A24" s="18" t="s">
        <v>29</v>
      </c>
      <c r="B24" s="18"/>
      <c r="C24" s="19" t="n">
        <f aca="false">C10*(1-0.029)-0.3-IF(C11="Raw",0.93,4.5)</f>
        <v>92.3</v>
      </c>
    </row>
    <row r="25" customFormat="false" ht="15" hidden="false" customHeight="false" outlineLevel="0" collapsed="false">
      <c r="A25" s="18" t="s">
        <v>30</v>
      </c>
      <c r="B25" s="18"/>
      <c r="C25" s="19" t="n">
        <f aca="false">C10*0.9</f>
        <v>90</v>
      </c>
    </row>
    <row r="26" customFormat="false" ht="15" hidden="false" customHeight="false" outlineLevel="0" collapsed="false">
      <c r="A26" s="14" t="s">
        <v>31</v>
      </c>
      <c r="B26" s="14"/>
      <c r="C26" s="19" t="n">
        <f aca="false">IF(C16=0,"PASS",C23-C19)</f>
        <v>5.84999999999999</v>
      </c>
    </row>
    <row r="27" customFormat="false" ht="15" hidden="false" customHeight="false" outlineLevel="0" collapsed="false">
      <c r="A27" s="14" t="s">
        <v>32</v>
      </c>
      <c r="B27" s="14"/>
      <c r="C27" s="19" t="n">
        <f aca="false">IF(C16=0,"PASS",C24-C19)</f>
        <v>16.3</v>
      </c>
    </row>
    <row r="28" customFormat="false" ht="15" hidden="false" customHeight="false" outlineLevel="0" collapsed="false">
      <c r="A28" s="14" t="s">
        <v>33</v>
      </c>
      <c r="B28" s="14"/>
      <c r="C28" s="19" t="n">
        <f aca="false">IF(C16=0,"PASS",C25-C19)</f>
        <v>14</v>
      </c>
    </row>
    <row r="29" customFormat="false" ht="15" hidden="false" customHeight="false" outlineLevel="0" collapsed="false">
      <c r="A29" s="14" t="s">
        <v>34</v>
      </c>
      <c r="B29" s="14"/>
      <c r="C29" s="24" t="n">
        <f aca="false">IF(C16=0,"PASS",IF(C19&gt;0,MAX(C26,C27,C28)/C19,0))</f>
        <v>0.214473684210526</v>
      </c>
      <c r="D29" s="25" t="str">
        <f aca="false">IF(C16=0,"",IF(C28&gt;=C27,IF(C28&gt;=C26,"Best: In-Person/Shows","Best: eBay"),IF(C27&gt;=C26,"Best: Shopify","Best: eBay")))</f>
        <v>Best: Shopify</v>
      </c>
    </row>
  </sheetData>
  <mergeCells count="26">
    <mergeCell ref="A1:H1"/>
    <mergeCell ref="A2:H2"/>
    <mergeCell ref="A4:D4"/>
    <mergeCell ref="A9:H9"/>
    <mergeCell ref="A10:B10"/>
    <mergeCell ref="A11:B11"/>
    <mergeCell ref="D11:H11"/>
    <mergeCell ref="A12:B12"/>
    <mergeCell ref="D12:H12"/>
    <mergeCell ref="A13:B13"/>
    <mergeCell ref="D13:H13"/>
    <mergeCell ref="A15:H15"/>
    <mergeCell ref="A16:B16"/>
    <mergeCell ref="D16:H16"/>
    <mergeCell ref="A17:B17"/>
    <mergeCell ref="A18:B18"/>
    <mergeCell ref="A19:B19"/>
    <mergeCell ref="A20:B20"/>
    <mergeCell ref="A22:H22"/>
    <mergeCell ref="A23:B23"/>
    <mergeCell ref="A24:B24"/>
    <mergeCell ref="A25:B25"/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26" t="s">
        <v>35</v>
      </c>
      <c r="B1" s="26"/>
      <c r="C1" s="26"/>
      <c r="D1" s="26"/>
      <c r="E1" s="26"/>
      <c r="F1" s="26"/>
      <c r="G1" s="26"/>
    </row>
    <row r="2" customFormat="false" ht="15" hidden="false" customHeight="false" outlineLevel="0" collapsed="false">
      <c r="A2" s="2" t="s">
        <v>36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27" t="s">
        <v>37</v>
      </c>
      <c r="B4" s="27"/>
      <c r="C4" s="27"/>
      <c r="D4" s="27"/>
      <c r="E4" s="27"/>
      <c r="F4" s="27"/>
      <c r="G4" s="27"/>
    </row>
    <row r="5" customFormat="false" ht="23.85" hidden="false" customHeight="false" outlineLevel="0" collapsed="false">
      <c r="A5" s="28" t="s">
        <v>12</v>
      </c>
      <c r="B5" s="28" t="s">
        <v>38</v>
      </c>
      <c r="C5" s="28" t="s">
        <v>39</v>
      </c>
      <c r="D5" s="28" t="s">
        <v>40</v>
      </c>
      <c r="E5" s="28" t="s">
        <v>41</v>
      </c>
      <c r="F5" s="28" t="s">
        <v>42</v>
      </c>
      <c r="G5" s="28" t="s">
        <v>43</v>
      </c>
    </row>
    <row r="6" customFormat="false" ht="15" hidden="false" customHeight="false" outlineLevel="0" collapsed="false">
      <c r="A6" s="29" t="s">
        <v>44</v>
      </c>
      <c r="B6" s="30" t="s">
        <v>45</v>
      </c>
      <c r="C6" s="30" t="s">
        <v>46</v>
      </c>
      <c r="D6" s="30" t="s">
        <v>47</v>
      </c>
      <c r="E6" s="30" t="s">
        <v>48</v>
      </c>
      <c r="F6" s="30" t="s">
        <v>49</v>
      </c>
      <c r="G6" s="30" t="s">
        <v>50</v>
      </c>
    </row>
    <row r="7" customFormat="false" ht="15" hidden="false" customHeight="false" outlineLevel="0" collapsed="false">
      <c r="A7" s="31" t="s">
        <v>51</v>
      </c>
      <c r="B7" s="32" t="s">
        <v>52</v>
      </c>
      <c r="C7" s="32" t="s">
        <v>46</v>
      </c>
      <c r="D7" s="32" t="s">
        <v>53</v>
      </c>
      <c r="E7" s="32" t="s">
        <v>54</v>
      </c>
      <c r="F7" s="32" t="s">
        <v>49</v>
      </c>
      <c r="G7" s="32" t="s">
        <v>55</v>
      </c>
    </row>
    <row r="8" customFormat="false" ht="15" hidden="false" customHeight="false" outlineLevel="0" collapsed="false">
      <c r="A8" s="29" t="s">
        <v>56</v>
      </c>
      <c r="B8" s="30" t="s">
        <v>57</v>
      </c>
      <c r="C8" s="30" t="s">
        <v>46</v>
      </c>
      <c r="D8" s="30" t="s">
        <v>58</v>
      </c>
      <c r="E8" s="30" t="s">
        <v>59</v>
      </c>
      <c r="F8" s="30" t="s">
        <v>49</v>
      </c>
      <c r="G8" s="30" t="s">
        <v>60</v>
      </c>
    </row>
    <row r="9" customFormat="false" ht="15" hidden="false" customHeight="false" outlineLevel="0" collapsed="false">
      <c r="A9" s="31" t="s">
        <v>61</v>
      </c>
      <c r="B9" s="32" t="s">
        <v>57</v>
      </c>
      <c r="C9" s="32" t="s">
        <v>46</v>
      </c>
      <c r="D9" s="32" t="s">
        <v>58</v>
      </c>
      <c r="E9" s="32" t="s">
        <v>59</v>
      </c>
      <c r="F9" s="32" t="s">
        <v>62</v>
      </c>
      <c r="G9" s="32" t="s">
        <v>63</v>
      </c>
    </row>
    <row r="10" customFormat="false" ht="15" hidden="false" customHeight="false" outlineLevel="0" collapsed="false">
      <c r="A10" s="29" t="s">
        <v>64</v>
      </c>
      <c r="B10" s="30" t="s">
        <v>65</v>
      </c>
      <c r="C10" s="30" t="s">
        <v>46</v>
      </c>
      <c r="D10" s="30" t="s">
        <v>66</v>
      </c>
      <c r="E10" s="30" t="s">
        <v>67</v>
      </c>
      <c r="F10" s="30" t="s">
        <v>68</v>
      </c>
      <c r="G10" s="30" t="s">
        <v>69</v>
      </c>
    </row>
    <row r="11" customFormat="false" ht="15" hidden="false" customHeight="false" outlineLevel="0" collapsed="false">
      <c r="A11" s="31" t="s">
        <v>70</v>
      </c>
      <c r="B11" s="32" t="s">
        <v>65</v>
      </c>
      <c r="C11" s="32" t="s">
        <v>46</v>
      </c>
      <c r="D11" s="32" t="s">
        <v>66</v>
      </c>
      <c r="E11" s="32" t="s">
        <v>67</v>
      </c>
      <c r="F11" s="32" t="s">
        <v>71</v>
      </c>
      <c r="G11" s="32" t="s">
        <v>72</v>
      </c>
    </row>
    <row r="12" customFormat="false" ht="15" hidden="false" customHeight="false" outlineLevel="0" collapsed="false">
      <c r="A12" s="33" t="s">
        <v>73</v>
      </c>
      <c r="B12" s="34" t="s">
        <v>74</v>
      </c>
      <c r="C12" s="34" t="s">
        <v>75</v>
      </c>
      <c r="D12" s="34" t="s">
        <v>75</v>
      </c>
      <c r="E12" s="34" t="s">
        <v>75</v>
      </c>
      <c r="F12" s="34" t="s">
        <v>75</v>
      </c>
      <c r="G12" s="34" t="s">
        <v>76</v>
      </c>
    </row>
    <row r="14" customFormat="false" ht="15" hidden="false" customHeight="false" outlineLevel="0" collapsed="false">
      <c r="A14" s="35" t="s">
        <v>77</v>
      </c>
      <c r="B14" s="35"/>
      <c r="C14" s="35"/>
      <c r="D14" s="35"/>
      <c r="E14" s="35"/>
      <c r="F14" s="35"/>
      <c r="G14" s="35"/>
    </row>
    <row r="15" customFormat="false" ht="23.85" hidden="false" customHeight="false" outlineLevel="0" collapsed="false">
      <c r="A15" s="36" t="s">
        <v>12</v>
      </c>
      <c r="B15" s="36" t="s">
        <v>38</v>
      </c>
      <c r="C15" s="36" t="s">
        <v>39</v>
      </c>
      <c r="D15" s="36" t="s">
        <v>40</v>
      </c>
      <c r="E15" s="36" t="s">
        <v>41</v>
      </c>
      <c r="F15" s="36" t="s">
        <v>42</v>
      </c>
      <c r="G15" s="36" t="s">
        <v>43</v>
      </c>
    </row>
    <row r="16" customFormat="false" ht="15" hidden="false" customHeight="false" outlineLevel="0" collapsed="false">
      <c r="A16" s="29" t="s">
        <v>78</v>
      </c>
      <c r="B16" s="30" t="s">
        <v>79</v>
      </c>
      <c r="C16" s="30" t="s">
        <v>46</v>
      </c>
      <c r="D16" s="30" t="s">
        <v>80</v>
      </c>
      <c r="E16" s="30" t="s">
        <v>53</v>
      </c>
      <c r="F16" s="30" t="s">
        <v>49</v>
      </c>
      <c r="G16" s="30" t="s">
        <v>81</v>
      </c>
    </row>
    <row r="17" customFormat="false" ht="15" hidden="false" customHeight="false" outlineLevel="0" collapsed="false">
      <c r="A17" s="31" t="s">
        <v>82</v>
      </c>
      <c r="B17" s="32" t="s">
        <v>83</v>
      </c>
      <c r="C17" s="32" t="s">
        <v>46</v>
      </c>
      <c r="D17" s="32" t="s">
        <v>59</v>
      </c>
      <c r="E17" s="32" t="s">
        <v>84</v>
      </c>
      <c r="F17" s="32" t="s">
        <v>49</v>
      </c>
      <c r="G17" s="32" t="s">
        <v>85</v>
      </c>
    </row>
    <row r="18" customFormat="false" ht="15" hidden="false" customHeight="false" outlineLevel="0" collapsed="false">
      <c r="A18" s="29" t="s">
        <v>86</v>
      </c>
      <c r="B18" s="30" t="s">
        <v>87</v>
      </c>
      <c r="C18" s="30" t="s">
        <v>46</v>
      </c>
      <c r="D18" s="30" t="s">
        <v>88</v>
      </c>
      <c r="E18" s="30" t="s">
        <v>89</v>
      </c>
      <c r="F18" s="30" t="s">
        <v>49</v>
      </c>
      <c r="G18" s="30" t="s">
        <v>90</v>
      </c>
    </row>
    <row r="19" customFormat="false" ht="15" hidden="false" customHeight="false" outlineLevel="0" collapsed="false">
      <c r="A19" s="31" t="s">
        <v>91</v>
      </c>
      <c r="B19" s="32" t="s">
        <v>92</v>
      </c>
      <c r="C19" s="32" t="s">
        <v>46</v>
      </c>
      <c r="D19" s="32" t="s">
        <v>93</v>
      </c>
      <c r="E19" s="32" t="s">
        <v>94</v>
      </c>
      <c r="F19" s="32" t="s">
        <v>62</v>
      </c>
      <c r="G19" s="32" t="s">
        <v>95</v>
      </c>
    </row>
    <row r="20" customFormat="false" ht="15" hidden="false" customHeight="false" outlineLevel="0" collapsed="false">
      <c r="A20" s="29" t="s">
        <v>96</v>
      </c>
      <c r="B20" s="30" t="s">
        <v>92</v>
      </c>
      <c r="C20" s="30" t="s">
        <v>46</v>
      </c>
      <c r="D20" s="30" t="s">
        <v>93</v>
      </c>
      <c r="E20" s="30" t="s">
        <v>94</v>
      </c>
      <c r="F20" s="30" t="s">
        <v>71</v>
      </c>
      <c r="G20" s="30" t="s">
        <v>97</v>
      </c>
    </row>
    <row r="21" customFormat="false" ht="15" hidden="false" customHeight="false" outlineLevel="0" collapsed="false">
      <c r="A21" s="31" t="s">
        <v>98</v>
      </c>
      <c r="B21" s="32" t="s">
        <v>99</v>
      </c>
      <c r="C21" s="32" t="s">
        <v>46</v>
      </c>
      <c r="D21" s="32" t="s">
        <v>100</v>
      </c>
      <c r="E21" s="32" t="s">
        <v>101</v>
      </c>
      <c r="F21" s="32" t="s">
        <v>71</v>
      </c>
      <c r="G21" s="32" t="s">
        <v>102</v>
      </c>
    </row>
    <row r="22" customFormat="false" ht="15" hidden="false" customHeight="false" outlineLevel="0" collapsed="false">
      <c r="A22" s="29" t="s">
        <v>103</v>
      </c>
      <c r="B22" s="30" t="s">
        <v>99</v>
      </c>
      <c r="C22" s="30" t="s">
        <v>46</v>
      </c>
      <c r="D22" s="30" t="s">
        <v>100</v>
      </c>
      <c r="E22" s="30" t="s">
        <v>101</v>
      </c>
      <c r="F22" s="30" t="s">
        <v>71</v>
      </c>
      <c r="G22" s="30" t="s">
        <v>104</v>
      </c>
    </row>
    <row r="23" customFormat="false" ht="15" hidden="false" customHeight="false" outlineLevel="0" collapsed="false">
      <c r="A23" s="33" t="s">
        <v>105</v>
      </c>
      <c r="B23" s="34" t="s">
        <v>74</v>
      </c>
      <c r="C23" s="34" t="s">
        <v>75</v>
      </c>
      <c r="D23" s="34" t="s">
        <v>75</v>
      </c>
      <c r="E23" s="34" t="s">
        <v>75</v>
      </c>
      <c r="F23" s="34" t="s">
        <v>75</v>
      </c>
      <c r="G23" s="34" t="s">
        <v>76</v>
      </c>
    </row>
    <row r="25" customFormat="false" ht="15" hidden="false" customHeight="false" outlineLevel="0" collapsed="false">
      <c r="A25" s="37" t="s">
        <v>106</v>
      </c>
      <c r="B25" s="37"/>
      <c r="C25" s="37"/>
      <c r="D25" s="37"/>
      <c r="E25" s="37"/>
      <c r="F25" s="37"/>
      <c r="G25" s="37"/>
    </row>
    <row r="26" customFormat="false" ht="23.85" hidden="false" customHeight="false" outlineLevel="0" collapsed="false">
      <c r="A26" s="38" t="s">
        <v>12</v>
      </c>
      <c r="B26" s="38" t="s">
        <v>38</v>
      </c>
      <c r="C26" s="38" t="s">
        <v>39</v>
      </c>
      <c r="D26" s="38" t="s">
        <v>40</v>
      </c>
      <c r="E26" s="38" t="s">
        <v>41</v>
      </c>
      <c r="F26" s="38" t="s">
        <v>42</v>
      </c>
      <c r="G26" s="38" t="s">
        <v>43</v>
      </c>
    </row>
    <row r="27" customFormat="false" ht="15" hidden="false" customHeight="false" outlineLevel="0" collapsed="false">
      <c r="A27" s="29" t="s">
        <v>107</v>
      </c>
      <c r="B27" s="30" t="s">
        <v>108</v>
      </c>
      <c r="C27" s="30" t="s">
        <v>46</v>
      </c>
      <c r="D27" s="30" t="s">
        <v>89</v>
      </c>
      <c r="E27" s="30" t="s">
        <v>109</v>
      </c>
      <c r="F27" s="30" t="s">
        <v>49</v>
      </c>
      <c r="G27" s="30" t="s">
        <v>110</v>
      </c>
    </row>
    <row r="28" customFormat="false" ht="15" hidden="false" customHeight="false" outlineLevel="0" collapsed="false">
      <c r="A28" s="31" t="s">
        <v>111</v>
      </c>
      <c r="B28" s="32" t="s">
        <v>112</v>
      </c>
      <c r="C28" s="32" t="s">
        <v>46</v>
      </c>
      <c r="D28" s="32" t="s">
        <v>84</v>
      </c>
      <c r="E28" s="32" t="s">
        <v>113</v>
      </c>
      <c r="F28" s="32" t="s">
        <v>49</v>
      </c>
      <c r="G28" s="32" t="s">
        <v>114</v>
      </c>
    </row>
    <row r="29" customFormat="false" ht="15" hidden="false" customHeight="false" outlineLevel="0" collapsed="false">
      <c r="A29" s="29" t="s">
        <v>115</v>
      </c>
      <c r="B29" s="30" t="s">
        <v>83</v>
      </c>
      <c r="C29" s="30" t="s">
        <v>46</v>
      </c>
      <c r="D29" s="30" t="s">
        <v>59</v>
      </c>
      <c r="E29" s="30" t="s">
        <v>84</v>
      </c>
      <c r="F29" s="30" t="s">
        <v>49</v>
      </c>
      <c r="G29" s="30" t="s">
        <v>116</v>
      </c>
    </row>
    <row r="30" customFormat="false" ht="15" hidden="false" customHeight="false" outlineLevel="0" collapsed="false">
      <c r="A30" s="31" t="s">
        <v>117</v>
      </c>
      <c r="B30" s="32" t="s">
        <v>87</v>
      </c>
      <c r="C30" s="32" t="s">
        <v>46</v>
      </c>
      <c r="D30" s="32" t="s">
        <v>88</v>
      </c>
      <c r="E30" s="32" t="s">
        <v>89</v>
      </c>
      <c r="F30" s="32" t="s">
        <v>49</v>
      </c>
      <c r="G30" s="32" t="s">
        <v>118</v>
      </c>
    </row>
    <row r="31" customFormat="false" ht="15" hidden="false" customHeight="false" outlineLevel="0" collapsed="false">
      <c r="A31" s="29" t="s">
        <v>119</v>
      </c>
      <c r="B31" s="30" t="s">
        <v>92</v>
      </c>
      <c r="C31" s="30" t="s">
        <v>46</v>
      </c>
      <c r="D31" s="30" t="s">
        <v>93</v>
      </c>
      <c r="E31" s="30" t="s">
        <v>94</v>
      </c>
      <c r="F31" s="30" t="s">
        <v>62</v>
      </c>
      <c r="G31" s="30" t="s">
        <v>120</v>
      </c>
    </row>
    <row r="32" customFormat="false" ht="15" hidden="false" customHeight="false" outlineLevel="0" collapsed="false">
      <c r="A32" s="31" t="s">
        <v>121</v>
      </c>
      <c r="B32" s="32" t="s">
        <v>65</v>
      </c>
      <c r="C32" s="32" t="s">
        <v>46</v>
      </c>
      <c r="D32" s="32" t="s">
        <v>66</v>
      </c>
      <c r="E32" s="32" t="s">
        <v>67</v>
      </c>
      <c r="F32" s="32" t="s">
        <v>71</v>
      </c>
      <c r="G32" s="32" t="s">
        <v>122</v>
      </c>
    </row>
    <row r="33" customFormat="false" ht="15" hidden="false" customHeight="false" outlineLevel="0" collapsed="false">
      <c r="A33" s="33" t="s">
        <v>123</v>
      </c>
      <c r="B33" s="34" t="s">
        <v>74</v>
      </c>
      <c r="C33" s="34" t="s">
        <v>75</v>
      </c>
      <c r="D33" s="34" t="s">
        <v>75</v>
      </c>
      <c r="E33" s="34" t="s">
        <v>75</v>
      </c>
      <c r="F33" s="34" t="s">
        <v>75</v>
      </c>
      <c r="G33" s="34" t="s">
        <v>76</v>
      </c>
    </row>
    <row r="35" customFormat="false" ht="15" hidden="false" customHeight="false" outlineLevel="0" collapsed="false">
      <c r="A35" s="39" t="s">
        <v>124</v>
      </c>
      <c r="B35" s="39"/>
      <c r="C35" s="39"/>
      <c r="D35" s="39"/>
      <c r="E35" s="39"/>
      <c r="F35" s="39"/>
      <c r="G35" s="39"/>
    </row>
    <row r="36" customFormat="false" ht="23.85" hidden="false" customHeight="false" outlineLevel="0" collapsed="false">
      <c r="A36" s="40" t="s">
        <v>12</v>
      </c>
      <c r="B36" s="40" t="s">
        <v>38</v>
      </c>
      <c r="C36" s="40" t="s">
        <v>39</v>
      </c>
      <c r="D36" s="40" t="s">
        <v>40</v>
      </c>
      <c r="E36" s="40" t="s">
        <v>41</v>
      </c>
      <c r="F36" s="40" t="s">
        <v>42</v>
      </c>
      <c r="G36" s="40" t="s">
        <v>43</v>
      </c>
    </row>
    <row r="37" customFormat="false" ht="15" hidden="false" customHeight="false" outlineLevel="0" collapsed="false">
      <c r="A37" s="29" t="s">
        <v>125</v>
      </c>
      <c r="B37" s="30" t="s">
        <v>87</v>
      </c>
      <c r="C37" s="30" t="s">
        <v>126</v>
      </c>
      <c r="D37" s="30" t="s">
        <v>88</v>
      </c>
      <c r="E37" s="30" t="s">
        <v>127</v>
      </c>
      <c r="F37" s="30" t="s">
        <v>128</v>
      </c>
      <c r="G37" s="30" t="s">
        <v>129</v>
      </c>
    </row>
    <row r="38" customFormat="false" ht="15" hidden="false" customHeight="false" outlineLevel="0" collapsed="false">
      <c r="A38" s="31" t="s">
        <v>130</v>
      </c>
      <c r="B38" s="32" t="s">
        <v>112</v>
      </c>
      <c r="C38" s="32" t="s">
        <v>126</v>
      </c>
      <c r="D38" s="32" t="s">
        <v>84</v>
      </c>
      <c r="E38" s="32" t="s">
        <v>131</v>
      </c>
      <c r="F38" s="32" t="s">
        <v>132</v>
      </c>
      <c r="G38" s="32" t="s">
        <v>133</v>
      </c>
    </row>
    <row r="39" customFormat="false" ht="15" hidden="false" customHeight="false" outlineLevel="0" collapsed="false">
      <c r="A39" s="29" t="s">
        <v>134</v>
      </c>
      <c r="B39" s="30" t="s">
        <v>135</v>
      </c>
      <c r="C39" s="30" t="s">
        <v>126</v>
      </c>
      <c r="D39" s="30" t="s">
        <v>67</v>
      </c>
      <c r="E39" s="30" t="s">
        <v>136</v>
      </c>
      <c r="F39" s="30" t="s">
        <v>128</v>
      </c>
      <c r="G39" s="30" t="s">
        <v>137</v>
      </c>
    </row>
    <row r="40" customFormat="false" ht="15" hidden="false" customHeight="false" outlineLevel="0" collapsed="false">
      <c r="A40" s="31" t="s">
        <v>138</v>
      </c>
      <c r="B40" s="32" t="s">
        <v>139</v>
      </c>
      <c r="C40" s="32" t="s">
        <v>126</v>
      </c>
      <c r="D40" s="32" t="s">
        <v>94</v>
      </c>
      <c r="E40" s="32" t="s">
        <v>140</v>
      </c>
      <c r="F40" s="32" t="s">
        <v>132</v>
      </c>
      <c r="G40" s="32" t="s">
        <v>141</v>
      </c>
    </row>
    <row r="41" customFormat="false" ht="15" hidden="false" customHeight="false" outlineLevel="0" collapsed="false">
      <c r="A41" s="29" t="s">
        <v>142</v>
      </c>
      <c r="B41" s="30" t="s">
        <v>143</v>
      </c>
      <c r="C41" s="30" t="s">
        <v>126</v>
      </c>
      <c r="D41" s="30" t="s">
        <v>144</v>
      </c>
      <c r="E41" s="30" t="s">
        <v>145</v>
      </c>
      <c r="F41" s="30" t="s">
        <v>128</v>
      </c>
      <c r="G41" s="30" t="s">
        <v>146</v>
      </c>
    </row>
    <row r="42" customFormat="false" ht="15" hidden="false" customHeight="false" outlineLevel="0" collapsed="false">
      <c r="A42" s="31" t="s">
        <v>147</v>
      </c>
      <c r="B42" s="32" t="s">
        <v>148</v>
      </c>
      <c r="C42" s="32" t="s">
        <v>126</v>
      </c>
      <c r="D42" s="32" t="s">
        <v>149</v>
      </c>
      <c r="E42" s="32" t="s">
        <v>150</v>
      </c>
      <c r="F42" s="32" t="s">
        <v>71</v>
      </c>
      <c r="G42" s="32" t="s">
        <v>151</v>
      </c>
    </row>
    <row r="43" customFormat="false" ht="15" hidden="false" customHeight="false" outlineLevel="0" collapsed="false">
      <c r="A43" s="29" t="s">
        <v>152</v>
      </c>
      <c r="B43" s="30" t="s">
        <v>153</v>
      </c>
      <c r="C43" s="30" t="s">
        <v>126</v>
      </c>
      <c r="D43" s="30" t="s">
        <v>154</v>
      </c>
      <c r="E43" s="30" t="s">
        <v>155</v>
      </c>
      <c r="F43" s="30" t="s">
        <v>71</v>
      </c>
      <c r="G43" s="30" t="s">
        <v>156</v>
      </c>
    </row>
    <row r="44" customFormat="false" ht="15" hidden="false" customHeight="false" outlineLevel="0" collapsed="false">
      <c r="A44" s="31" t="s">
        <v>157</v>
      </c>
      <c r="B44" s="32" t="s">
        <v>158</v>
      </c>
      <c r="C44" s="32" t="s">
        <v>126</v>
      </c>
      <c r="D44" s="32" t="s">
        <v>159</v>
      </c>
      <c r="E44" s="32" t="s">
        <v>160</v>
      </c>
      <c r="F44" s="32" t="s">
        <v>71</v>
      </c>
      <c r="G44" s="32" t="s">
        <v>161</v>
      </c>
    </row>
  </sheetData>
  <mergeCells count="6">
    <mergeCell ref="A1:G1"/>
    <mergeCell ref="A2:G2"/>
    <mergeCell ref="A4:G4"/>
    <mergeCell ref="A14:G14"/>
    <mergeCell ref="A25:G25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26" t="s">
        <v>162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customFormat="false" ht="15" hidden="false" customHeight="false" outlineLevel="0" collapsed="false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5.05" hidden="false" customHeight="false" outlineLevel="0" collapsed="false">
      <c r="A3" s="41" t="s">
        <v>164</v>
      </c>
      <c r="B3" s="41" t="s">
        <v>165</v>
      </c>
      <c r="C3" s="41" t="s">
        <v>166</v>
      </c>
      <c r="D3" s="41" t="s">
        <v>167</v>
      </c>
      <c r="E3" s="41" t="s">
        <v>168</v>
      </c>
      <c r="F3" s="41" t="s">
        <v>169</v>
      </c>
      <c r="G3" s="41" t="s">
        <v>38</v>
      </c>
      <c r="H3" s="41" t="s">
        <v>170</v>
      </c>
      <c r="I3" s="41" t="s">
        <v>171</v>
      </c>
      <c r="J3" s="41" t="s">
        <v>172</v>
      </c>
      <c r="K3" s="41" t="s">
        <v>173</v>
      </c>
    </row>
    <row r="4" customFormat="false" ht="15" hidden="false" customHeight="false" outlineLevel="0" collapsed="false">
      <c r="A4" s="42" t="n">
        <v>1</v>
      </c>
      <c r="B4" s="43"/>
      <c r="C4" s="44"/>
      <c r="D4" s="43" t="s">
        <v>13</v>
      </c>
      <c r="E4" s="43" t="s">
        <v>16</v>
      </c>
      <c r="F4" s="43" t="s">
        <v>19</v>
      </c>
      <c r="G4" s="45" t="str">
        <f aca="false">IF(C4="","",IF(AND(D4="PSA",E4="10",F4="Vintage"),0.73,IF(AND(D4="PSA",E4="10"),0.71,IF(AND(D4="PSA",E4="9"),0.62,IF(AND(D4="PSA",E4="8",F4="Vintage"),0.62,IF(AND(D4="PSA",E4="8"),0.55,IF(AND(D4="PSA",OR(E4="7-",E4="8.5"),F4="Vintage"),0.55,IF(AND(D4="PSA",OR(E4="7-",E4="8.5")),0,IF(AND(D4="CGC",E4="10"),0.68,IF(AND(D4="CGC",E4="9.5",F4="Vintage"),0.7,IF(AND(D4="CGC",E4="9.5"),0.67,IF(AND(D4="CGC",E4="9"),0.58,IF(AND(D4="CGC",E4="8.5",F4="Vintage"),0.58,IF(AND(D4="CGC",E4="8.5"),0.52,IF(AND(D4="CGC",OR(E4="8",E4="7-"),F4="Vintage"),0.52,IF(AND(D4="CGC",OR(E4="8",E4="7-")),0,IF(AND(D4="BGS",E4="BL"),0.75,IF(AND(D4="BGS",E4="10"),0.72,IF(AND(D4="BGS",E4="9.5",F4="Vintage"),0.7,IF(AND(D4="BGS",E4="9.5"),0.67,IF(AND(D4="BGS",E4="9"),0.58,IF(AND(D4="BGS",OR(E4="8.5",E4="8",E4="7-"),F4="Vintage"),0.55,IF(AND(D4="BGS",OR(E4="8.5",E4="8",E4="7-")),0,IF(AND(D4="Raw",E4="NM",C4&gt;=50),0.72,IF(AND(D4="Raw",E4="NM"),0.7,IF(AND(D4="Raw",E4="LP",C4&gt;=50),0.63,IF(AND(D4="Raw",E4="LP"),0.6,IF(AND(D4="Raw",E4="MP",C4&gt;=50),0.53,IF(AND(D4="Raw",E4="MP"),0.5,IF(AND(D4="Raw",E4="HP"),0.4,IF(AND(D4="Raw",E4="DM"),0.3,0)))))))))))))))))))))))))))))))</f>
        <v/>
      </c>
      <c r="H4" s="46" t="str">
        <f aca="false">IF(OR(C4="",G4=0),"",ROUND(C4*G4,0))</f>
        <v/>
      </c>
      <c r="I4" s="47" t="str">
        <f aca="false">IF(C4="","",IF(D4="Raw",2.5,5))</f>
        <v/>
      </c>
      <c r="J4" s="47" t="str">
        <f aca="false">IF(OR(C4="",G4=0),"",H4+I4)</f>
        <v/>
      </c>
      <c r="K4" s="47" t="str">
        <f aca="false">IF(OR(C4="",G4=0),"",C4*0.9-J4)</f>
        <v/>
      </c>
    </row>
    <row r="5" customFormat="false" ht="15" hidden="false" customHeight="false" outlineLevel="0" collapsed="false">
      <c r="A5" s="48" t="n">
        <v>2</v>
      </c>
      <c r="B5" s="43"/>
      <c r="C5" s="44"/>
      <c r="D5" s="43" t="s">
        <v>13</v>
      </c>
      <c r="E5" s="43" t="s">
        <v>16</v>
      </c>
      <c r="F5" s="43" t="s">
        <v>19</v>
      </c>
      <c r="G5" s="49" t="str">
        <f aca="false">IF(C5="","",IF(AND(D5="PSA",E5="10",F5="Vintage"),0.73,IF(AND(D5="PSA",E5="10"),0.71,IF(AND(D5="PSA",E5="9"),0.62,IF(AND(D5="PSA",E5="8",F5="Vintage"),0.62,IF(AND(D5="PSA",E5="8"),0.55,IF(AND(D5="PSA",OR(E5="7-",E5="8.5"),F5="Vintage"),0.55,IF(AND(D5="PSA",OR(E5="7-",E5="8.5")),0,IF(AND(D5="CGC",E5="10"),0.68,IF(AND(D5="CGC",E5="9.5",F5="Vintage"),0.7,IF(AND(D5="CGC",E5="9.5"),0.67,IF(AND(D5="CGC",E5="9"),0.58,IF(AND(D5="CGC",E5="8.5",F5="Vintage"),0.58,IF(AND(D5="CGC",E5="8.5"),0.52,IF(AND(D5="CGC",OR(E5="8",E5="7-"),F5="Vintage"),0.52,IF(AND(D5="CGC",OR(E5="8",E5="7-")),0,IF(AND(D5="BGS",E5="BL"),0.75,IF(AND(D5="BGS",E5="10"),0.72,IF(AND(D5="BGS",E5="9.5",F5="Vintage"),0.7,IF(AND(D5="BGS",E5="9.5"),0.67,IF(AND(D5="BGS",E5="9"),0.58,IF(AND(D5="BGS",OR(E5="8.5",E5="8",E5="7-"),F5="Vintage"),0.55,IF(AND(D5="BGS",OR(E5="8.5",E5="8",E5="7-")),0,IF(AND(D5="Raw",E5="NM",C5&gt;=50),0.72,IF(AND(D5="Raw",E5="NM"),0.7,IF(AND(D5="Raw",E5="LP",C5&gt;=50),0.63,IF(AND(D5="Raw",E5="LP"),0.6,IF(AND(D5="Raw",E5="MP",C5&gt;=50),0.53,IF(AND(D5="Raw",E5="MP"),0.5,IF(AND(D5="Raw",E5="HP"),0.4,IF(AND(D5="Raw",E5="DM"),0.3,0)))))))))))))))))))))))))))))))</f>
        <v/>
      </c>
      <c r="H5" s="50" t="str">
        <f aca="false">IF(OR(C5="",G5=0),"",ROUND(C5*G5,0))</f>
        <v/>
      </c>
      <c r="I5" s="19" t="str">
        <f aca="false">IF(C5="","",IF(D5="Raw",2.5,5))</f>
        <v/>
      </c>
      <c r="J5" s="19" t="str">
        <f aca="false">IF(OR(C5="",G5=0),"",H5+I5)</f>
        <v/>
      </c>
      <c r="K5" s="19" t="str">
        <f aca="false">IF(OR(C5="",G5=0),"",C5*0.9-J5)</f>
        <v/>
      </c>
    </row>
    <row r="6" customFormat="false" ht="15" hidden="false" customHeight="false" outlineLevel="0" collapsed="false">
      <c r="A6" s="42" t="n">
        <v>3</v>
      </c>
      <c r="B6" s="43"/>
      <c r="C6" s="44"/>
      <c r="D6" s="43" t="s">
        <v>13</v>
      </c>
      <c r="E6" s="43" t="s">
        <v>16</v>
      </c>
      <c r="F6" s="43" t="s">
        <v>19</v>
      </c>
      <c r="G6" s="45" t="str">
        <f aca="false">IF(C6="","",IF(AND(D6="PSA",E6="10",F6="Vintage"),0.73,IF(AND(D6="PSA",E6="10"),0.71,IF(AND(D6="PSA",E6="9"),0.62,IF(AND(D6="PSA",E6="8",F6="Vintage"),0.62,IF(AND(D6="PSA",E6="8"),0.55,IF(AND(D6="PSA",OR(E6="7-",E6="8.5"),F6="Vintage"),0.55,IF(AND(D6="PSA",OR(E6="7-",E6="8.5")),0,IF(AND(D6="CGC",E6="10"),0.68,IF(AND(D6="CGC",E6="9.5",F6="Vintage"),0.7,IF(AND(D6="CGC",E6="9.5"),0.67,IF(AND(D6="CGC",E6="9"),0.58,IF(AND(D6="CGC",E6="8.5",F6="Vintage"),0.58,IF(AND(D6="CGC",E6="8.5"),0.52,IF(AND(D6="CGC",OR(E6="8",E6="7-"),F6="Vintage"),0.52,IF(AND(D6="CGC",OR(E6="8",E6="7-")),0,IF(AND(D6="BGS",E6="BL"),0.75,IF(AND(D6="BGS",E6="10"),0.72,IF(AND(D6="BGS",E6="9.5",F6="Vintage"),0.7,IF(AND(D6="BGS",E6="9.5"),0.67,IF(AND(D6="BGS",E6="9"),0.58,IF(AND(D6="BGS",OR(E6="8.5",E6="8",E6="7-"),F6="Vintage"),0.55,IF(AND(D6="BGS",OR(E6="8.5",E6="8",E6="7-")),0,IF(AND(D6="Raw",E6="NM",C6&gt;=50),0.72,IF(AND(D6="Raw",E6="NM"),0.7,IF(AND(D6="Raw",E6="LP",C6&gt;=50),0.63,IF(AND(D6="Raw",E6="LP"),0.6,IF(AND(D6="Raw",E6="MP",C6&gt;=50),0.53,IF(AND(D6="Raw",E6="MP"),0.5,IF(AND(D6="Raw",E6="HP"),0.4,IF(AND(D6="Raw",E6="DM"),0.3,0)))))))))))))))))))))))))))))))</f>
        <v/>
      </c>
      <c r="H6" s="46" t="str">
        <f aca="false">IF(OR(C6="",G6=0),"",ROUND(C6*G6,0))</f>
        <v/>
      </c>
      <c r="I6" s="47" t="str">
        <f aca="false">IF(C6="","",IF(D6="Raw",2.5,5))</f>
        <v/>
      </c>
      <c r="J6" s="47" t="str">
        <f aca="false">IF(OR(C6="",G6=0),"",H6+I6)</f>
        <v/>
      </c>
      <c r="K6" s="47" t="str">
        <f aca="false">IF(OR(C6="",G6=0),"",C6*0.9-J6)</f>
        <v/>
      </c>
    </row>
    <row r="7" customFormat="false" ht="15" hidden="false" customHeight="false" outlineLevel="0" collapsed="false">
      <c r="A7" s="48" t="n">
        <v>4</v>
      </c>
      <c r="B7" s="43"/>
      <c r="C7" s="44"/>
      <c r="D7" s="43" t="s">
        <v>13</v>
      </c>
      <c r="E7" s="43" t="s">
        <v>16</v>
      </c>
      <c r="F7" s="43" t="s">
        <v>19</v>
      </c>
      <c r="G7" s="49" t="str">
        <f aca="false">IF(C7="","",IF(AND(D7="PSA",E7="10",F7="Vintage"),0.73,IF(AND(D7="PSA",E7="10"),0.71,IF(AND(D7="PSA",E7="9"),0.62,IF(AND(D7="PSA",E7="8",F7="Vintage"),0.62,IF(AND(D7="PSA",E7="8"),0.55,IF(AND(D7="PSA",OR(E7="7-",E7="8.5"),F7="Vintage"),0.55,IF(AND(D7="PSA",OR(E7="7-",E7="8.5")),0,IF(AND(D7="CGC",E7="10"),0.68,IF(AND(D7="CGC",E7="9.5",F7="Vintage"),0.7,IF(AND(D7="CGC",E7="9.5"),0.67,IF(AND(D7="CGC",E7="9"),0.58,IF(AND(D7="CGC",E7="8.5",F7="Vintage"),0.58,IF(AND(D7="CGC",E7="8.5"),0.52,IF(AND(D7="CGC",OR(E7="8",E7="7-"),F7="Vintage"),0.52,IF(AND(D7="CGC",OR(E7="8",E7="7-")),0,IF(AND(D7="BGS",E7="BL"),0.75,IF(AND(D7="BGS",E7="10"),0.72,IF(AND(D7="BGS",E7="9.5",F7="Vintage"),0.7,IF(AND(D7="BGS",E7="9.5"),0.67,IF(AND(D7="BGS",E7="9"),0.58,IF(AND(D7="BGS",OR(E7="8.5",E7="8",E7="7-"),F7="Vintage"),0.55,IF(AND(D7="BGS",OR(E7="8.5",E7="8",E7="7-")),0,IF(AND(D7="Raw",E7="NM",C7&gt;=50),0.72,IF(AND(D7="Raw",E7="NM"),0.7,IF(AND(D7="Raw",E7="LP",C7&gt;=50),0.63,IF(AND(D7="Raw",E7="LP"),0.6,IF(AND(D7="Raw",E7="MP",C7&gt;=50),0.53,IF(AND(D7="Raw",E7="MP"),0.5,IF(AND(D7="Raw",E7="HP"),0.4,IF(AND(D7="Raw",E7="DM"),0.3,0)))))))))))))))))))))))))))))))</f>
        <v/>
      </c>
      <c r="H7" s="50" t="str">
        <f aca="false">IF(OR(C7="",G7=0),"",ROUND(C7*G7,0))</f>
        <v/>
      </c>
      <c r="I7" s="19" t="str">
        <f aca="false">IF(C7="","",IF(D7="Raw",2.5,5))</f>
        <v/>
      </c>
      <c r="J7" s="19" t="str">
        <f aca="false">IF(OR(C7="",G7=0),"",H7+I7)</f>
        <v/>
      </c>
      <c r="K7" s="19" t="str">
        <f aca="false">IF(OR(C7="",G7=0),"",C7*0.9-J7)</f>
        <v/>
      </c>
    </row>
    <row r="8" customFormat="false" ht="15" hidden="false" customHeight="false" outlineLevel="0" collapsed="false">
      <c r="A8" s="42" t="n">
        <v>5</v>
      </c>
      <c r="B8" s="43"/>
      <c r="C8" s="44"/>
      <c r="D8" s="43" t="s">
        <v>13</v>
      </c>
      <c r="E8" s="43" t="s">
        <v>16</v>
      </c>
      <c r="F8" s="43" t="s">
        <v>19</v>
      </c>
      <c r="G8" s="45" t="str">
        <f aca="false">IF(C8="","",IF(AND(D8="PSA",E8="10",F8="Vintage"),0.73,IF(AND(D8="PSA",E8="10"),0.71,IF(AND(D8="PSA",E8="9"),0.62,IF(AND(D8="PSA",E8="8",F8="Vintage"),0.62,IF(AND(D8="PSA",E8="8"),0.55,IF(AND(D8="PSA",OR(E8="7-",E8="8.5"),F8="Vintage"),0.55,IF(AND(D8="PSA",OR(E8="7-",E8="8.5")),0,IF(AND(D8="CGC",E8="10"),0.68,IF(AND(D8="CGC",E8="9.5",F8="Vintage"),0.7,IF(AND(D8="CGC",E8="9.5"),0.67,IF(AND(D8="CGC",E8="9"),0.58,IF(AND(D8="CGC",E8="8.5",F8="Vintage"),0.58,IF(AND(D8="CGC",E8="8.5"),0.52,IF(AND(D8="CGC",OR(E8="8",E8="7-"),F8="Vintage"),0.52,IF(AND(D8="CGC",OR(E8="8",E8="7-")),0,IF(AND(D8="BGS",E8="BL"),0.75,IF(AND(D8="BGS",E8="10"),0.72,IF(AND(D8="BGS",E8="9.5",F8="Vintage"),0.7,IF(AND(D8="BGS",E8="9.5"),0.67,IF(AND(D8="BGS",E8="9"),0.58,IF(AND(D8="BGS",OR(E8="8.5",E8="8",E8="7-"),F8="Vintage"),0.55,IF(AND(D8="BGS",OR(E8="8.5",E8="8",E8="7-")),0,IF(AND(D8="Raw",E8="NM",C8&gt;=50),0.72,IF(AND(D8="Raw",E8="NM"),0.7,IF(AND(D8="Raw",E8="LP",C8&gt;=50),0.63,IF(AND(D8="Raw",E8="LP"),0.6,IF(AND(D8="Raw",E8="MP",C8&gt;=50),0.53,IF(AND(D8="Raw",E8="MP"),0.5,IF(AND(D8="Raw",E8="HP"),0.4,IF(AND(D8="Raw",E8="DM"),0.3,0)))))))))))))))))))))))))))))))</f>
        <v/>
      </c>
      <c r="H8" s="46" t="str">
        <f aca="false">IF(OR(C8="",G8=0),"",ROUND(C8*G8,0))</f>
        <v/>
      </c>
      <c r="I8" s="47" t="str">
        <f aca="false">IF(C8="","",IF(D8="Raw",2.5,5))</f>
        <v/>
      </c>
      <c r="J8" s="47" t="str">
        <f aca="false">IF(OR(C8="",G8=0),"",H8+I8)</f>
        <v/>
      </c>
      <c r="K8" s="47" t="str">
        <f aca="false">IF(OR(C8="",G8=0),"",C8*0.9-J8)</f>
        <v/>
      </c>
    </row>
    <row r="9" customFormat="false" ht="15" hidden="false" customHeight="false" outlineLevel="0" collapsed="false">
      <c r="A9" s="48" t="n">
        <v>6</v>
      </c>
      <c r="B9" s="43"/>
      <c r="C9" s="44"/>
      <c r="D9" s="43" t="s">
        <v>13</v>
      </c>
      <c r="E9" s="43" t="s">
        <v>16</v>
      </c>
      <c r="F9" s="43" t="s">
        <v>19</v>
      </c>
      <c r="G9" s="49" t="str">
        <f aca="false">IF(C9="","",IF(AND(D9="PSA",E9="10",F9="Vintage"),0.73,IF(AND(D9="PSA",E9="10"),0.71,IF(AND(D9="PSA",E9="9"),0.62,IF(AND(D9="PSA",E9="8",F9="Vintage"),0.62,IF(AND(D9="PSA",E9="8"),0.55,IF(AND(D9="PSA",OR(E9="7-",E9="8.5"),F9="Vintage"),0.55,IF(AND(D9="PSA",OR(E9="7-",E9="8.5")),0,IF(AND(D9="CGC",E9="10"),0.68,IF(AND(D9="CGC",E9="9.5",F9="Vintage"),0.7,IF(AND(D9="CGC",E9="9.5"),0.67,IF(AND(D9="CGC",E9="9"),0.58,IF(AND(D9="CGC",E9="8.5",F9="Vintage"),0.58,IF(AND(D9="CGC",E9="8.5"),0.52,IF(AND(D9="CGC",OR(E9="8",E9="7-"),F9="Vintage"),0.52,IF(AND(D9="CGC",OR(E9="8",E9="7-")),0,IF(AND(D9="BGS",E9="BL"),0.75,IF(AND(D9="BGS",E9="10"),0.72,IF(AND(D9="BGS",E9="9.5",F9="Vintage"),0.7,IF(AND(D9="BGS",E9="9.5"),0.67,IF(AND(D9="BGS",E9="9"),0.58,IF(AND(D9="BGS",OR(E9="8.5",E9="8",E9="7-"),F9="Vintage"),0.55,IF(AND(D9="BGS",OR(E9="8.5",E9="8",E9="7-")),0,IF(AND(D9="Raw",E9="NM",C9&gt;=50),0.72,IF(AND(D9="Raw",E9="NM"),0.7,IF(AND(D9="Raw",E9="LP",C9&gt;=50),0.63,IF(AND(D9="Raw",E9="LP"),0.6,IF(AND(D9="Raw",E9="MP",C9&gt;=50),0.53,IF(AND(D9="Raw",E9="MP"),0.5,IF(AND(D9="Raw",E9="HP"),0.4,IF(AND(D9="Raw",E9="DM"),0.3,0)))))))))))))))))))))))))))))))</f>
        <v/>
      </c>
      <c r="H9" s="50" t="str">
        <f aca="false">IF(OR(C9="",G9=0),"",ROUND(C9*G9,0))</f>
        <v/>
      </c>
      <c r="I9" s="19" t="str">
        <f aca="false">IF(C9="","",IF(D9="Raw",2.5,5))</f>
        <v/>
      </c>
      <c r="J9" s="19" t="str">
        <f aca="false">IF(OR(C9="",G9=0),"",H9+I9)</f>
        <v/>
      </c>
      <c r="K9" s="19" t="str">
        <f aca="false">IF(OR(C9="",G9=0),"",C9*0.9-J9)</f>
        <v/>
      </c>
    </row>
    <row r="10" customFormat="false" ht="15" hidden="false" customHeight="false" outlineLevel="0" collapsed="false">
      <c r="A10" s="42" t="n">
        <v>7</v>
      </c>
      <c r="B10" s="43"/>
      <c r="C10" s="44"/>
      <c r="D10" s="43" t="s">
        <v>13</v>
      </c>
      <c r="E10" s="43" t="s">
        <v>16</v>
      </c>
      <c r="F10" s="43" t="s">
        <v>19</v>
      </c>
      <c r="G10" s="45" t="str">
        <f aca="false">IF(C10="","",IF(AND(D10="PSA",E10="10",F10="Vintage"),0.73,IF(AND(D10="PSA",E10="10"),0.71,IF(AND(D10="PSA",E10="9"),0.62,IF(AND(D10="PSA",E10="8",F10="Vintage"),0.62,IF(AND(D10="PSA",E10="8"),0.55,IF(AND(D10="PSA",OR(E10="7-",E10="8.5"),F10="Vintage"),0.55,IF(AND(D10="PSA",OR(E10="7-",E10="8.5")),0,IF(AND(D10="CGC",E10="10"),0.68,IF(AND(D10="CGC",E10="9.5",F10="Vintage"),0.7,IF(AND(D10="CGC",E10="9.5"),0.67,IF(AND(D10="CGC",E10="9"),0.58,IF(AND(D10="CGC",E10="8.5",F10="Vintage"),0.58,IF(AND(D10="CGC",E10="8.5"),0.52,IF(AND(D10="CGC",OR(E10="8",E10="7-"),F10="Vintage"),0.52,IF(AND(D10="CGC",OR(E10="8",E10="7-")),0,IF(AND(D10="BGS",E10="BL"),0.75,IF(AND(D10="BGS",E10="10"),0.72,IF(AND(D10="BGS",E10="9.5",F10="Vintage"),0.7,IF(AND(D10="BGS",E10="9.5"),0.67,IF(AND(D10="BGS",E10="9"),0.58,IF(AND(D10="BGS",OR(E10="8.5",E10="8",E10="7-"),F10="Vintage"),0.55,IF(AND(D10="BGS",OR(E10="8.5",E10="8",E10="7-")),0,IF(AND(D10="Raw",E10="NM",C10&gt;=50),0.72,IF(AND(D10="Raw",E10="NM"),0.7,IF(AND(D10="Raw",E10="LP",C10&gt;=50),0.63,IF(AND(D10="Raw",E10="LP"),0.6,IF(AND(D10="Raw",E10="MP",C10&gt;=50),0.53,IF(AND(D10="Raw",E10="MP"),0.5,IF(AND(D10="Raw",E10="HP"),0.4,IF(AND(D10="Raw",E10="DM"),0.3,0)))))))))))))))))))))))))))))))</f>
        <v/>
      </c>
      <c r="H10" s="46" t="str">
        <f aca="false">IF(OR(C10="",G10=0),"",ROUND(C10*G10,0))</f>
        <v/>
      </c>
      <c r="I10" s="47" t="str">
        <f aca="false">IF(C10="","",IF(D10="Raw",2.5,5))</f>
        <v/>
      </c>
      <c r="J10" s="47" t="str">
        <f aca="false">IF(OR(C10="",G10=0),"",H10+I10)</f>
        <v/>
      </c>
      <c r="K10" s="47" t="str">
        <f aca="false">IF(OR(C10="",G10=0),"",C10*0.9-J10)</f>
        <v/>
      </c>
    </row>
    <row r="11" customFormat="false" ht="15" hidden="false" customHeight="false" outlineLevel="0" collapsed="false">
      <c r="A11" s="48" t="n">
        <v>8</v>
      </c>
      <c r="B11" s="43"/>
      <c r="C11" s="44"/>
      <c r="D11" s="43" t="s">
        <v>13</v>
      </c>
      <c r="E11" s="43" t="s">
        <v>16</v>
      </c>
      <c r="F11" s="43" t="s">
        <v>19</v>
      </c>
      <c r="G11" s="49" t="str">
        <f aca="false">IF(C11="","",IF(AND(D11="PSA",E11="10",F11="Vintage"),0.73,IF(AND(D11="PSA",E11="10"),0.71,IF(AND(D11="PSA",E11="9"),0.62,IF(AND(D11="PSA",E11="8",F11="Vintage"),0.62,IF(AND(D11="PSA",E11="8"),0.55,IF(AND(D11="PSA",OR(E11="7-",E11="8.5"),F11="Vintage"),0.55,IF(AND(D11="PSA",OR(E11="7-",E11="8.5")),0,IF(AND(D11="CGC",E11="10"),0.68,IF(AND(D11="CGC",E11="9.5",F11="Vintage"),0.7,IF(AND(D11="CGC",E11="9.5"),0.67,IF(AND(D11="CGC",E11="9"),0.58,IF(AND(D11="CGC",E11="8.5",F11="Vintage"),0.58,IF(AND(D11="CGC",E11="8.5"),0.52,IF(AND(D11="CGC",OR(E11="8",E11="7-"),F11="Vintage"),0.52,IF(AND(D11="CGC",OR(E11="8",E11="7-")),0,IF(AND(D11="BGS",E11="BL"),0.75,IF(AND(D11="BGS",E11="10"),0.72,IF(AND(D11="BGS",E11="9.5",F11="Vintage"),0.7,IF(AND(D11="BGS",E11="9.5"),0.67,IF(AND(D11="BGS",E11="9"),0.58,IF(AND(D11="BGS",OR(E11="8.5",E11="8",E11="7-"),F11="Vintage"),0.55,IF(AND(D11="BGS",OR(E11="8.5",E11="8",E11="7-")),0,IF(AND(D11="Raw",E11="NM",C11&gt;=50),0.72,IF(AND(D11="Raw",E11="NM"),0.7,IF(AND(D11="Raw",E11="LP",C11&gt;=50),0.63,IF(AND(D11="Raw",E11="LP"),0.6,IF(AND(D11="Raw",E11="MP",C11&gt;=50),0.53,IF(AND(D11="Raw",E11="MP"),0.5,IF(AND(D11="Raw",E11="HP"),0.4,IF(AND(D11="Raw",E11="DM"),0.3,0)))))))))))))))))))))))))))))))</f>
        <v/>
      </c>
      <c r="H11" s="50" t="str">
        <f aca="false">IF(OR(C11="",G11=0),"",ROUND(C11*G11,0))</f>
        <v/>
      </c>
      <c r="I11" s="19" t="str">
        <f aca="false">IF(C11="","",IF(D11="Raw",2.5,5))</f>
        <v/>
      </c>
      <c r="J11" s="19" t="str">
        <f aca="false">IF(OR(C11="",G11=0),"",H11+I11)</f>
        <v/>
      </c>
      <c r="K11" s="19" t="str">
        <f aca="false">IF(OR(C11="",G11=0),"",C11*0.9-J11)</f>
        <v/>
      </c>
    </row>
    <row r="12" customFormat="false" ht="15" hidden="false" customHeight="false" outlineLevel="0" collapsed="false">
      <c r="A12" s="42" t="n">
        <v>9</v>
      </c>
      <c r="B12" s="43"/>
      <c r="C12" s="44"/>
      <c r="D12" s="43" t="s">
        <v>13</v>
      </c>
      <c r="E12" s="43" t="s">
        <v>16</v>
      </c>
      <c r="F12" s="43" t="s">
        <v>19</v>
      </c>
      <c r="G12" s="45" t="str">
        <f aca="false">IF(C12="","",IF(AND(D12="PSA",E12="10",F12="Vintage"),0.73,IF(AND(D12="PSA",E12="10"),0.71,IF(AND(D12="PSA",E12="9"),0.62,IF(AND(D12="PSA",E12="8",F12="Vintage"),0.62,IF(AND(D12="PSA",E12="8"),0.55,IF(AND(D12="PSA",OR(E12="7-",E12="8.5"),F12="Vintage"),0.55,IF(AND(D12="PSA",OR(E12="7-",E12="8.5")),0,IF(AND(D12="CGC",E12="10"),0.68,IF(AND(D12="CGC",E12="9.5",F12="Vintage"),0.7,IF(AND(D12="CGC",E12="9.5"),0.67,IF(AND(D12="CGC",E12="9"),0.58,IF(AND(D12="CGC",E12="8.5",F12="Vintage"),0.58,IF(AND(D12="CGC",E12="8.5"),0.52,IF(AND(D12="CGC",OR(E12="8",E12="7-"),F12="Vintage"),0.52,IF(AND(D12="CGC",OR(E12="8",E12="7-")),0,IF(AND(D12="BGS",E12="BL"),0.75,IF(AND(D12="BGS",E12="10"),0.72,IF(AND(D12="BGS",E12="9.5",F12="Vintage"),0.7,IF(AND(D12="BGS",E12="9.5"),0.67,IF(AND(D12="BGS",E12="9"),0.58,IF(AND(D12="BGS",OR(E12="8.5",E12="8",E12="7-"),F12="Vintage"),0.55,IF(AND(D12="BGS",OR(E12="8.5",E12="8",E12="7-")),0,IF(AND(D12="Raw",E12="NM",C12&gt;=50),0.72,IF(AND(D12="Raw",E12="NM"),0.7,IF(AND(D12="Raw",E12="LP",C12&gt;=50),0.63,IF(AND(D12="Raw",E12="LP"),0.6,IF(AND(D12="Raw",E12="MP",C12&gt;=50),0.53,IF(AND(D12="Raw",E12="MP"),0.5,IF(AND(D12="Raw",E12="HP"),0.4,IF(AND(D12="Raw",E12="DM"),0.3,0)))))))))))))))))))))))))))))))</f>
        <v/>
      </c>
      <c r="H12" s="46" t="str">
        <f aca="false">IF(OR(C12="",G12=0),"",ROUND(C12*G12,0))</f>
        <v/>
      </c>
      <c r="I12" s="47" t="str">
        <f aca="false">IF(C12="","",IF(D12="Raw",2.5,5))</f>
        <v/>
      </c>
      <c r="J12" s="47" t="str">
        <f aca="false">IF(OR(C12="",G12=0),"",H12+I12)</f>
        <v/>
      </c>
      <c r="K12" s="47" t="str">
        <f aca="false">IF(OR(C12="",G12=0),"",C12*0.9-J12)</f>
        <v/>
      </c>
    </row>
    <row r="13" customFormat="false" ht="15" hidden="false" customHeight="false" outlineLevel="0" collapsed="false">
      <c r="A13" s="48" t="n">
        <v>10</v>
      </c>
      <c r="B13" s="43"/>
      <c r="C13" s="44"/>
      <c r="D13" s="43" t="s">
        <v>13</v>
      </c>
      <c r="E13" s="43" t="s">
        <v>16</v>
      </c>
      <c r="F13" s="43" t="s">
        <v>19</v>
      </c>
      <c r="G13" s="49" t="str">
        <f aca="false">IF(C13="","",IF(AND(D13="PSA",E13="10",F13="Vintage"),0.73,IF(AND(D13="PSA",E13="10"),0.71,IF(AND(D13="PSA",E13="9"),0.62,IF(AND(D13="PSA",E13="8",F13="Vintage"),0.62,IF(AND(D13="PSA",E13="8"),0.55,IF(AND(D13="PSA",OR(E13="7-",E13="8.5"),F13="Vintage"),0.55,IF(AND(D13="PSA",OR(E13="7-",E13="8.5")),0,IF(AND(D13="CGC",E13="10"),0.68,IF(AND(D13="CGC",E13="9.5",F13="Vintage"),0.7,IF(AND(D13="CGC",E13="9.5"),0.67,IF(AND(D13="CGC",E13="9"),0.58,IF(AND(D13="CGC",E13="8.5",F13="Vintage"),0.58,IF(AND(D13="CGC",E13="8.5"),0.52,IF(AND(D13="CGC",OR(E13="8",E13="7-"),F13="Vintage"),0.52,IF(AND(D13="CGC",OR(E13="8",E13="7-")),0,IF(AND(D13="BGS",E13="BL"),0.75,IF(AND(D13="BGS",E13="10"),0.72,IF(AND(D13="BGS",E13="9.5",F13="Vintage"),0.7,IF(AND(D13="BGS",E13="9.5"),0.67,IF(AND(D13="BGS",E13="9"),0.58,IF(AND(D13="BGS",OR(E13="8.5",E13="8",E13="7-"),F13="Vintage"),0.55,IF(AND(D13="BGS",OR(E13="8.5",E13="8",E13="7-")),0,IF(AND(D13="Raw",E13="NM",C13&gt;=50),0.72,IF(AND(D13="Raw",E13="NM"),0.7,IF(AND(D13="Raw",E13="LP",C13&gt;=50),0.63,IF(AND(D13="Raw",E13="LP"),0.6,IF(AND(D13="Raw",E13="MP",C13&gt;=50),0.53,IF(AND(D13="Raw",E13="MP"),0.5,IF(AND(D13="Raw",E13="HP"),0.4,IF(AND(D13="Raw",E13="DM"),0.3,0)))))))))))))))))))))))))))))))</f>
        <v/>
      </c>
      <c r="H13" s="50" t="str">
        <f aca="false">IF(OR(C13="",G13=0),"",ROUND(C13*G13,0))</f>
        <v/>
      </c>
      <c r="I13" s="19" t="str">
        <f aca="false">IF(C13="","",IF(D13="Raw",2.5,5))</f>
        <v/>
      </c>
      <c r="J13" s="19" t="str">
        <f aca="false">IF(OR(C13="",G13=0),"",H13+I13)</f>
        <v/>
      </c>
      <c r="K13" s="19" t="str">
        <f aca="false">IF(OR(C13="",G13=0),"",C13*0.9-J13)</f>
        <v/>
      </c>
    </row>
    <row r="14" customFormat="false" ht="15" hidden="false" customHeight="false" outlineLevel="0" collapsed="false">
      <c r="A14" s="42" t="n">
        <v>11</v>
      </c>
      <c r="B14" s="43"/>
      <c r="C14" s="44"/>
      <c r="D14" s="43" t="s">
        <v>13</v>
      </c>
      <c r="E14" s="43" t="s">
        <v>16</v>
      </c>
      <c r="F14" s="43" t="s">
        <v>19</v>
      </c>
      <c r="G14" s="45" t="str">
        <f aca="false">IF(C14="","",IF(AND(D14="PSA",E14="10",F14="Vintage"),0.73,IF(AND(D14="PSA",E14="10"),0.71,IF(AND(D14="PSA",E14="9"),0.62,IF(AND(D14="PSA",E14="8",F14="Vintage"),0.62,IF(AND(D14="PSA",E14="8"),0.55,IF(AND(D14="PSA",OR(E14="7-",E14="8.5"),F14="Vintage"),0.55,IF(AND(D14="PSA",OR(E14="7-",E14="8.5")),0,IF(AND(D14="CGC",E14="10"),0.68,IF(AND(D14="CGC",E14="9.5",F14="Vintage"),0.7,IF(AND(D14="CGC",E14="9.5"),0.67,IF(AND(D14="CGC",E14="9"),0.58,IF(AND(D14="CGC",E14="8.5",F14="Vintage"),0.58,IF(AND(D14="CGC",E14="8.5"),0.52,IF(AND(D14="CGC",OR(E14="8",E14="7-"),F14="Vintage"),0.52,IF(AND(D14="CGC",OR(E14="8",E14="7-")),0,IF(AND(D14="BGS",E14="BL"),0.75,IF(AND(D14="BGS",E14="10"),0.72,IF(AND(D14="BGS",E14="9.5",F14="Vintage"),0.7,IF(AND(D14="BGS",E14="9.5"),0.67,IF(AND(D14="BGS",E14="9"),0.58,IF(AND(D14="BGS",OR(E14="8.5",E14="8",E14="7-"),F14="Vintage"),0.55,IF(AND(D14="BGS",OR(E14="8.5",E14="8",E14="7-")),0,IF(AND(D14="Raw",E14="NM",C14&gt;=50),0.72,IF(AND(D14="Raw",E14="NM"),0.7,IF(AND(D14="Raw",E14="LP",C14&gt;=50),0.63,IF(AND(D14="Raw",E14="LP"),0.6,IF(AND(D14="Raw",E14="MP",C14&gt;=50),0.53,IF(AND(D14="Raw",E14="MP"),0.5,IF(AND(D14="Raw",E14="HP"),0.4,IF(AND(D14="Raw",E14="DM"),0.3,0)))))))))))))))))))))))))))))))</f>
        <v/>
      </c>
      <c r="H14" s="46" t="str">
        <f aca="false">IF(OR(C14="",G14=0),"",ROUND(C14*G14,0))</f>
        <v/>
      </c>
      <c r="I14" s="47" t="str">
        <f aca="false">IF(C14="","",IF(D14="Raw",2.5,5))</f>
        <v/>
      </c>
      <c r="J14" s="47" t="str">
        <f aca="false">IF(OR(C14="",G14=0),"",H14+I14)</f>
        <v/>
      </c>
      <c r="K14" s="47" t="str">
        <f aca="false">IF(OR(C14="",G14=0),"",C14*0.9-J14)</f>
        <v/>
      </c>
    </row>
    <row r="15" customFormat="false" ht="15" hidden="false" customHeight="false" outlineLevel="0" collapsed="false">
      <c r="A15" s="48" t="n">
        <v>12</v>
      </c>
      <c r="B15" s="43"/>
      <c r="C15" s="44"/>
      <c r="D15" s="43" t="s">
        <v>13</v>
      </c>
      <c r="E15" s="43" t="s">
        <v>16</v>
      </c>
      <c r="F15" s="43" t="s">
        <v>19</v>
      </c>
      <c r="G15" s="49" t="str">
        <f aca="false">IF(C15="","",IF(AND(D15="PSA",E15="10",F15="Vintage"),0.73,IF(AND(D15="PSA",E15="10"),0.71,IF(AND(D15="PSA",E15="9"),0.62,IF(AND(D15="PSA",E15="8",F15="Vintage"),0.62,IF(AND(D15="PSA",E15="8"),0.55,IF(AND(D15="PSA",OR(E15="7-",E15="8.5"),F15="Vintage"),0.55,IF(AND(D15="PSA",OR(E15="7-",E15="8.5")),0,IF(AND(D15="CGC",E15="10"),0.68,IF(AND(D15="CGC",E15="9.5",F15="Vintage"),0.7,IF(AND(D15="CGC",E15="9.5"),0.67,IF(AND(D15="CGC",E15="9"),0.58,IF(AND(D15="CGC",E15="8.5",F15="Vintage"),0.58,IF(AND(D15="CGC",E15="8.5"),0.52,IF(AND(D15="CGC",OR(E15="8",E15="7-"),F15="Vintage"),0.52,IF(AND(D15="CGC",OR(E15="8",E15="7-")),0,IF(AND(D15="BGS",E15="BL"),0.75,IF(AND(D15="BGS",E15="10"),0.72,IF(AND(D15="BGS",E15="9.5",F15="Vintage"),0.7,IF(AND(D15="BGS",E15="9.5"),0.67,IF(AND(D15="BGS",E15="9"),0.58,IF(AND(D15="BGS",OR(E15="8.5",E15="8",E15="7-"),F15="Vintage"),0.55,IF(AND(D15="BGS",OR(E15="8.5",E15="8",E15="7-")),0,IF(AND(D15="Raw",E15="NM",C15&gt;=50),0.72,IF(AND(D15="Raw",E15="NM"),0.7,IF(AND(D15="Raw",E15="LP",C15&gt;=50),0.63,IF(AND(D15="Raw",E15="LP"),0.6,IF(AND(D15="Raw",E15="MP",C15&gt;=50),0.53,IF(AND(D15="Raw",E15="MP"),0.5,IF(AND(D15="Raw",E15="HP"),0.4,IF(AND(D15="Raw",E15="DM"),0.3,0)))))))))))))))))))))))))))))))</f>
        <v/>
      </c>
      <c r="H15" s="50" t="str">
        <f aca="false">IF(OR(C15="",G15=0),"",ROUND(C15*G15,0))</f>
        <v/>
      </c>
      <c r="I15" s="19" t="str">
        <f aca="false">IF(C15="","",IF(D15="Raw",2.5,5))</f>
        <v/>
      </c>
      <c r="J15" s="19" t="str">
        <f aca="false">IF(OR(C15="",G15=0),"",H15+I15)</f>
        <v/>
      </c>
      <c r="K15" s="19" t="str">
        <f aca="false">IF(OR(C15="",G15=0),"",C15*0.9-J15)</f>
        <v/>
      </c>
    </row>
    <row r="16" customFormat="false" ht="15" hidden="false" customHeight="false" outlineLevel="0" collapsed="false">
      <c r="A16" s="42" t="n">
        <v>13</v>
      </c>
      <c r="B16" s="43"/>
      <c r="C16" s="44"/>
      <c r="D16" s="43" t="s">
        <v>13</v>
      </c>
      <c r="E16" s="43" t="s">
        <v>16</v>
      </c>
      <c r="F16" s="43" t="s">
        <v>19</v>
      </c>
      <c r="G16" s="45" t="str">
        <f aca="false">IF(C16="","",IF(AND(D16="PSA",E16="10",F16="Vintage"),0.73,IF(AND(D16="PSA",E16="10"),0.71,IF(AND(D16="PSA",E16="9"),0.62,IF(AND(D16="PSA",E16="8",F16="Vintage"),0.62,IF(AND(D16="PSA",E16="8"),0.55,IF(AND(D16="PSA",OR(E16="7-",E16="8.5"),F16="Vintage"),0.55,IF(AND(D16="PSA",OR(E16="7-",E16="8.5")),0,IF(AND(D16="CGC",E16="10"),0.68,IF(AND(D16="CGC",E16="9.5",F16="Vintage"),0.7,IF(AND(D16="CGC",E16="9.5"),0.67,IF(AND(D16="CGC",E16="9"),0.58,IF(AND(D16="CGC",E16="8.5",F16="Vintage"),0.58,IF(AND(D16="CGC",E16="8.5"),0.52,IF(AND(D16="CGC",OR(E16="8",E16="7-"),F16="Vintage"),0.52,IF(AND(D16="CGC",OR(E16="8",E16="7-")),0,IF(AND(D16="BGS",E16="BL"),0.75,IF(AND(D16="BGS",E16="10"),0.72,IF(AND(D16="BGS",E16="9.5",F16="Vintage"),0.7,IF(AND(D16="BGS",E16="9.5"),0.67,IF(AND(D16="BGS",E16="9"),0.58,IF(AND(D16="BGS",OR(E16="8.5",E16="8",E16="7-"),F16="Vintage"),0.55,IF(AND(D16="BGS",OR(E16="8.5",E16="8",E16="7-")),0,IF(AND(D16="Raw",E16="NM",C16&gt;=50),0.72,IF(AND(D16="Raw",E16="NM"),0.7,IF(AND(D16="Raw",E16="LP",C16&gt;=50),0.63,IF(AND(D16="Raw",E16="LP"),0.6,IF(AND(D16="Raw",E16="MP",C16&gt;=50),0.53,IF(AND(D16="Raw",E16="MP"),0.5,IF(AND(D16="Raw",E16="HP"),0.4,IF(AND(D16="Raw",E16="DM"),0.3,0)))))))))))))))))))))))))))))))</f>
        <v/>
      </c>
      <c r="H16" s="46" t="str">
        <f aca="false">IF(OR(C16="",G16=0),"",ROUND(C16*G16,0))</f>
        <v/>
      </c>
      <c r="I16" s="47" t="str">
        <f aca="false">IF(C16="","",IF(D16="Raw",2.5,5))</f>
        <v/>
      </c>
      <c r="J16" s="47" t="str">
        <f aca="false">IF(OR(C16="",G16=0),"",H16+I16)</f>
        <v/>
      </c>
      <c r="K16" s="47" t="str">
        <f aca="false">IF(OR(C16="",G16=0),"",C16*0.9-J16)</f>
        <v/>
      </c>
    </row>
    <row r="17" customFormat="false" ht="15" hidden="false" customHeight="false" outlineLevel="0" collapsed="false">
      <c r="A17" s="48" t="n">
        <v>14</v>
      </c>
      <c r="B17" s="43"/>
      <c r="C17" s="44"/>
      <c r="D17" s="43" t="s">
        <v>13</v>
      </c>
      <c r="E17" s="43" t="s">
        <v>16</v>
      </c>
      <c r="F17" s="43" t="s">
        <v>19</v>
      </c>
      <c r="G17" s="49" t="str">
        <f aca="false">IF(C17="","",IF(AND(D17="PSA",E17="10",F17="Vintage"),0.73,IF(AND(D17="PSA",E17="10"),0.71,IF(AND(D17="PSA",E17="9"),0.62,IF(AND(D17="PSA",E17="8",F17="Vintage"),0.62,IF(AND(D17="PSA",E17="8"),0.55,IF(AND(D17="PSA",OR(E17="7-",E17="8.5"),F17="Vintage"),0.55,IF(AND(D17="PSA",OR(E17="7-",E17="8.5")),0,IF(AND(D17="CGC",E17="10"),0.68,IF(AND(D17="CGC",E17="9.5",F17="Vintage"),0.7,IF(AND(D17="CGC",E17="9.5"),0.67,IF(AND(D17="CGC",E17="9"),0.58,IF(AND(D17="CGC",E17="8.5",F17="Vintage"),0.58,IF(AND(D17="CGC",E17="8.5"),0.52,IF(AND(D17="CGC",OR(E17="8",E17="7-"),F17="Vintage"),0.52,IF(AND(D17="CGC",OR(E17="8",E17="7-")),0,IF(AND(D17="BGS",E17="BL"),0.75,IF(AND(D17="BGS",E17="10"),0.72,IF(AND(D17="BGS",E17="9.5",F17="Vintage"),0.7,IF(AND(D17="BGS",E17="9.5"),0.67,IF(AND(D17="BGS",E17="9"),0.58,IF(AND(D17="BGS",OR(E17="8.5",E17="8",E17="7-"),F17="Vintage"),0.55,IF(AND(D17="BGS",OR(E17="8.5",E17="8",E17="7-")),0,IF(AND(D17="Raw",E17="NM",C17&gt;=50),0.72,IF(AND(D17="Raw",E17="NM"),0.7,IF(AND(D17="Raw",E17="LP",C17&gt;=50),0.63,IF(AND(D17="Raw",E17="LP"),0.6,IF(AND(D17="Raw",E17="MP",C17&gt;=50),0.53,IF(AND(D17="Raw",E17="MP"),0.5,IF(AND(D17="Raw",E17="HP"),0.4,IF(AND(D17="Raw",E17="DM"),0.3,0)))))))))))))))))))))))))))))))</f>
        <v/>
      </c>
      <c r="H17" s="50" t="str">
        <f aca="false">IF(OR(C17="",G17=0),"",ROUND(C17*G17,0))</f>
        <v/>
      </c>
      <c r="I17" s="19" t="str">
        <f aca="false">IF(C17="","",IF(D17="Raw",2.5,5))</f>
        <v/>
      </c>
      <c r="J17" s="19" t="str">
        <f aca="false">IF(OR(C17="",G17=0),"",H17+I17)</f>
        <v/>
      </c>
      <c r="K17" s="19" t="str">
        <f aca="false">IF(OR(C17="",G17=0),"",C17*0.9-J17)</f>
        <v/>
      </c>
    </row>
    <row r="18" customFormat="false" ht="15" hidden="false" customHeight="false" outlineLevel="0" collapsed="false">
      <c r="A18" s="42" t="n">
        <v>15</v>
      </c>
      <c r="B18" s="43"/>
      <c r="C18" s="44"/>
      <c r="D18" s="43" t="s">
        <v>13</v>
      </c>
      <c r="E18" s="43" t="s">
        <v>16</v>
      </c>
      <c r="F18" s="43" t="s">
        <v>19</v>
      </c>
      <c r="G18" s="45" t="str">
        <f aca="false">IF(C18="","",IF(AND(D18="PSA",E18="10",F18="Vintage"),0.73,IF(AND(D18="PSA",E18="10"),0.71,IF(AND(D18="PSA",E18="9"),0.62,IF(AND(D18="PSA",E18="8",F18="Vintage"),0.62,IF(AND(D18="PSA",E18="8"),0.55,IF(AND(D18="PSA",OR(E18="7-",E18="8.5"),F18="Vintage"),0.55,IF(AND(D18="PSA",OR(E18="7-",E18="8.5")),0,IF(AND(D18="CGC",E18="10"),0.68,IF(AND(D18="CGC",E18="9.5",F18="Vintage"),0.7,IF(AND(D18="CGC",E18="9.5"),0.67,IF(AND(D18="CGC",E18="9"),0.58,IF(AND(D18="CGC",E18="8.5",F18="Vintage"),0.58,IF(AND(D18="CGC",E18="8.5"),0.52,IF(AND(D18="CGC",OR(E18="8",E18="7-"),F18="Vintage"),0.52,IF(AND(D18="CGC",OR(E18="8",E18="7-")),0,IF(AND(D18="BGS",E18="BL"),0.75,IF(AND(D18="BGS",E18="10"),0.72,IF(AND(D18="BGS",E18="9.5",F18="Vintage"),0.7,IF(AND(D18="BGS",E18="9.5"),0.67,IF(AND(D18="BGS",E18="9"),0.58,IF(AND(D18="BGS",OR(E18="8.5",E18="8",E18="7-"),F18="Vintage"),0.55,IF(AND(D18="BGS",OR(E18="8.5",E18="8",E18="7-")),0,IF(AND(D18="Raw",E18="NM",C18&gt;=50),0.72,IF(AND(D18="Raw",E18="NM"),0.7,IF(AND(D18="Raw",E18="LP",C18&gt;=50),0.63,IF(AND(D18="Raw",E18="LP"),0.6,IF(AND(D18="Raw",E18="MP",C18&gt;=50),0.53,IF(AND(D18="Raw",E18="MP"),0.5,IF(AND(D18="Raw",E18="HP"),0.4,IF(AND(D18="Raw",E18="DM"),0.3,0)))))))))))))))))))))))))))))))</f>
        <v/>
      </c>
      <c r="H18" s="46" t="str">
        <f aca="false">IF(OR(C18="",G18=0),"",ROUND(C18*G18,0))</f>
        <v/>
      </c>
      <c r="I18" s="47" t="str">
        <f aca="false">IF(C18="","",IF(D18="Raw",2.5,5))</f>
        <v/>
      </c>
      <c r="J18" s="47" t="str">
        <f aca="false">IF(OR(C18="",G18=0),"",H18+I18)</f>
        <v/>
      </c>
      <c r="K18" s="47" t="str">
        <f aca="false">IF(OR(C18="",G18=0),"",C18*0.9-J18)</f>
        <v/>
      </c>
    </row>
    <row r="19" customFormat="false" ht="15" hidden="false" customHeight="false" outlineLevel="0" collapsed="false">
      <c r="A19" s="48" t="n">
        <v>16</v>
      </c>
      <c r="B19" s="43"/>
      <c r="C19" s="44"/>
      <c r="D19" s="43" t="s">
        <v>13</v>
      </c>
      <c r="E19" s="43" t="s">
        <v>16</v>
      </c>
      <c r="F19" s="43" t="s">
        <v>19</v>
      </c>
      <c r="G19" s="49" t="str">
        <f aca="false">IF(C19="","",IF(AND(D19="PSA",E19="10",F19="Vintage"),0.73,IF(AND(D19="PSA",E19="10"),0.71,IF(AND(D19="PSA",E19="9"),0.62,IF(AND(D19="PSA",E19="8",F19="Vintage"),0.62,IF(AND(D19="PSA",E19="8"),0.55,IF(AND(D19="PSA",OR(E19="7-",E19="8.5"),F19="Vintage"),0.55,IF(AND(D19="PSA",OR(E19="7-",E19="8.5")),0,IF(AND(D19="CGC",E19="10"),0.68,IF(AND(D19="CGC",E19="9.5",F19="Vintage"),0.7,IF(AND(D19="CGC",E19="9.5"),0.67,IF(AND(D19="CGC",E19="9"),0.58,IF(AND(D19="CGC",E19="8.5",F19="Vintage"),0.58,IF(AND(D19="CGC",E19="8.5"),0.52,IF(AND(D19="CGC",OR(E19="8",E19="7-"),F19="Vintage"),0.52,IF(AND(D19="CGC",OR(E19="8",E19="7-")),0,IF(AND(D19="BGS",E19="BL"),0.75,IF(AND(D19="BGS",E19="10"),0.72,IF(AND(D19="BGS",E19="9.5",F19="Vintage"),0.7,IF(AND(D19="BGS",E19="9.5"),0.67,IF(AND(D19="BGS",E19="9"),0.58,IF(AND(D19="BGS",OR(E19="8.5",E19="8",E19="7-"),F19="Vintage"),0.55,IF(AND(D19="BGS",OR(E19="8.5",E19="8",E19="7-")),0,IF(AND(D19="Raw",E19="NM",C19&gt;=50),0.72,IF(AND(D19="Raw",E19="NM"),0.7,IF(AND(D19="Raw",E19="LP",C19&gt;=50),0.63,IF(AND(D19="Raw",E19="LP"),0.6,IF(AND(D19="Raw",E19="MP",C19&gt;=50),0.53,IF(AND(D19="Raw",E19="MP"),0.5,IF(AND(D19="Raw",E19="HP"),0.4,IF(AND(D19="Raw",E19="DM"),0.3,0)))))))))))))))))))))))))))))))</f>
        <v/>
      </c>
      <c r="H19" s="50" t="str">
        <f aca="false">IF(OR(C19="",G19=0),"",ROUND(C19*G19,0))</f>
        <v/>
      </c>
      <c r="I19" s="19" t="str">
        <f aca="false">IF(C19="","",IF(D19="Raw",2.5,5))</f>
        <v/>
      </c>
      <c r="J19" s="19" t="str">
        <f aca="false">IF(OR(C19="",G19=0),"",H19+I19)</f>
        <v/>
      </c>
      <c r="K19" s="19" t="str">
        <f aca="false">IF(OR(C19="",G19=0),"",C19*0.9-J19)</f>
        <v/>
      </c>
    </row>
    <row r="20" customFormat="false" ht="15" hidden="false" customHeight="false" outlineLevel="0" collapsed="false">
      <c r="A20" s="42" t="n">
        <v>17</v>
      </c>
      <c r="B20" s="43"/>
      <c r="C20" s="44"/>
      <c r="D20" s="43" t="s">
        <v>13</v>
      </c>
      <c r="E20" s="43" t="s">
        <v>16</v>
      </c>
      <c r="F20" s="43" t="s">
        <v>19</v>
      </c>
      <c r="G20" s="45" t="str">
        <f aca="false">IF(C20="","",IF(AND(D20="PSA",E20="10",F20="Vintage"),0.73,IF(AND(D20="PSA",E20="10"),0.71,IF(AND(D20="PSA",E20="9"),0.62,IF(AND(D20="PSA",E20="8",F20="Vintage"),0.62,IF(AND(D20="PSA",E20="8"),0.55,IF(AND(D20="PSA",OR(E20="7-",E20="8.5"),F20="Vintage"),0.55,IF(AND(D20="PSA",OR(E20="7-",E20="8.5")),0,IF(AND(D20="CGC",E20="10"),0.68,IF(AND(D20="CGC",E20="9.5",F20="Vintage"),0.7,IF(AND(D20="CGC",E20="9.5"),0.67,IF(AND(D20="CGC",E20="9"),0.58,IF(AND(D20="CGC",E20="8.5",F20="Vintage"),0.58,IF(AND(D20="CGC",E20="8.5"),0.52,IF(AND(D20="CGC",OR(E20="8",E20="7-"),F20="Vintage"),0.52,IF(AND(D20="CGC",OR(E20="8",E20="7-")),0,IF(AND(D20="BGS",E20="BL"),0.75,IF(AND(D20="BGS",E20="10"),0.72,IF(AND(D20="BGS",E20="9.5",F20="Vintage"),0.7,IF(AND(D20="BGS",E20="9.5"),0.67,IF(AND(D20="BGS",E20="9"),0.58,IF(AND(D20="BGS",OR(E20="8.5",E20="8",E20="7-"),F20="Vintage"),0.55,IF(AND(D20="BGS",OR(E20="8.5",E20="8",E20="7-")),0,IF(AND(D20="Raw",E20="NM",C20&gt;=50),0.72,IF(AND(D20="Raw",E20="NM"),0.7,IF(AND(D20="Raw",E20="LP",C20&gt;=50),0.63,IF(AND(D20="Raw",E20="LP"),0.6,IF(AND(D20="Raw",E20="MP",C20&gt;=50),0.53,IF(AND(D20="Raw",E20="MP"),0.5,IF(AND(D20="Raw",E20="HP"),0.4,IF(AND(D20="Raw",E20="DM"),0.3,0)))))))))))))))))))))))))))))))</f>
        <v/>
      </c>
      <c r="H20" s="46" t="str">
        <f aca="false">IF(OR(C20="",G20=0),"",ROUND(C20*G20,0))</f>
        <v/>
      </c>
      <c r="I20" s="47" t="str">
        <f aca="false">IF(C20="","",IF(D20="Raw",2.5,5))</f>
        <v/>
      </c>
      <c r="J20" s="47" t="str">
        <f aca="false">IF(OR(C20="",G20=0),"",H20+I20)</f>
        <v/>
      </c>
      <c r="K20" s="47" t="str">
        <f aca="false">IF(OR(C20="",G20=0),"",C20*0.9-J20)</f>
        <v/>
      </c>
    </row>
    <row r="21" customFormat="false" ht="15" hidden="false" customHeight="false" outlineLevel="0" collapsed="false">
      <c r="A21" s="48" t="n">
        <v>18</v>
      </c>
      <c r="B21" s="43"/>
      <c r="C21" s="44"/>
      <c r="D21" s="43" t="s">
        <v>13</v>
      </c>
      <c r="E21" s="43" t="s">
        <v>16</v>
      </c>
      <c r="F21" s="43" t="s">
        <v>19</v>
      </c>
      <c r="G21" s="49" t="str">
        <f aca="false">IF(C21="","",IF(AND(D21="PSA",E21="10",F21="Vintage"),0.73,IF(AND(D21="PSA",E21="10"),0.71,IF(AND(D21="PSA",E21="9"),0.62,IF(AND(D21="PSA",E21="8",F21="Vintage"),0.62,IF(AND(D21="PSA",E21="8"),0.55,IF(AND(D21="PSA",OR(E21="7-",E21="8.5"),F21="Vintage"),0.55,IF(AND(D21="PSA",OR(E21="7-",E21="8.5")),0,IF(AND(D21="CGC",E21="10"),0.68,IF(AND(D21="CGC",E21="9.5",F21="Vintage"),0.7,IF(AND(D21="CGC",E21="9.5"),0.67,IF(AND(D21="CGC",E21="9"),0.58,IF(AND(D21="CGC",E21="8.5",F21="Vintage"),0.58,IF(AND(D21="CGC",E21="8.5"),0.52,IF(AND(D21="CGC",OR(E21="8",E21="7-"),F21="Vintage"),0.52,IF(AND(D21="CGC",OR(E21="8",E21="7-")),0,IF(AND(D21="BGS",E21="BL"),0.75,IF(AND(D21="BGS",E21="10"),0.72,IF(AND(D21="BGS",E21="9.5",F21="Vintage"),0.7,IF(AND(D21="BGS",E21="9.5"),0.67,IF(AND(D21="BGS",E21="9"),0.58,IF(AND(D21="BGS",OR(E21="8.5",E21="8",E21="7-"),F21="Vintage"),0.55,IF(AND(D21="BGS",OR(E21="8.5",E21="8",E21="7-")),0,IF(AND(D21="Raw",E21="NM",C21&gt;=50),0.72,IF(AND(D21="Raw",E21="NM"),0.7,IF(AND(D21="Raw",E21="LP",C21&gt;=50),0.63,IF(AND(D21="Raw",E21="LP"),0.6,IF(AND(D21="Raw",E21="MP",C21&gt;=50),0.53,IF(AND(D21="Raw",E21="MP"),0.5,IF(AND(D21="Raw",E21="HP"),0.4,IF(AND(D21="Raw",E21="DM"),0.3,0)))))))))))))))))))))))))))))))</f>
        <v/>
      </c>
      <c r="H21" s="50" t="str">
        <f aca="false">IF(OR(C21="",G21=0),"",ROUND(C21*G21,0))</f>
        <v/>
      </c>
      <c r="I21" s="19" t="str">
        <f aca="false">IF(C21="","",IF(D21="Raw",2.5,5))</f>
        <v/>
      </c>
      <c r="J21" s="19" t="str">
        <f aca="false">IF(OR(C21="",G21=0),"",H21+I21)</f>
        <v/>
      </c>
      <c r="K21" s="19" t="str">
        <f aca="false">IF(OR(C21="",G21=0),"",C21*0.9-J21)</f>
        <v/>
      </c>
    </row>
    <row r="22" customFormat="false" ht="15" hidden="false" customHeight="false" outlineLevel="0" collapsed="false">
      <c r="A22" s="42" t="n">
        <v>19</v>
      </c>
      <c r="B22" s="43"/>
      <c r="C22" s="44"/>
      <c r="D22" s="43" t="s">
        <v>13</v>
      </c>
      <c r="E22" s="43" t="s">
        <v>16</v>
      </c>
      <c r="F22" s="43" t="s">
        <v>19</v>
      </c>
      <c r="G22" s="45" t="str">
        <f aca="false">IF(C22="","",IF(AND(D22="PSA",E22="10",F22="Vintage"),0.73,IF(AND(D22="PSA",E22="10"),0.71,IF(AND(D22="PSA",E22="9"),0.62,IF(AND(D22="PSA",E22="8",F22="Vintage"),0.62,IF(AND(D22="PSA",E22="8"),0.55,IF(AND(D22="PSA",OR(E22="7-",E22="8.5"),F22="Vintage"),0.55,IF(AND(D22="PSA",OR(E22="7-",E22="8.5")),0,IF(AND(D22="CGC",E22="10"),0.68,IF(AND(D22="CGC",E22="9.5",F22="Vintage"),0.7,IF(AND(D22="CGC",E22="9.5"),0.67,IF(AND(D22="CGC",E22="9"),0.58,IF(AND(D22="CGC",E22="8.5",F22="Vintage"),0.58,IF(AND(D22="CGC",E22="8.5"),0.52,IF(AND(D22="CGC",OR(E22="8",E22="7-"),F22="Vintage"),0.52,IF(AND(D22="CGC",OR(E22="8",E22="7-")),0,IF(AND(D22="BGS",E22="BL"),0.75,IF(AND(D22="BGS",E22="10"),0.72,IF(AND(D22="BGS",E22="9.5",F22="Vintage"),0.7,IF(AND(D22="BGS",E22="9.5"),0.67,IF(AND(D22="BGS",E22="9"),0.58,IF(AND(D22="BGS",OR(E22="8.5",E22="8",E22="7-"),F22="Vintage"),0.55,IF(AND(D22="BGS",OR(E22="8.5",E22="8",E22="7-")),0,IF(AND(D22="Raw",E22="NM",C22&gt;=50),0.72,IF(AND(D22="Raw",E22="NM"),0.7,IF(AND(D22="Raw",E22="LP",C22&gt;=50),0.63,IF(AND(D22="Raw",E22="LP"),0.6,IF(AND(D22="Raw",E22="MP",C22&gt;=50),0.53,IF(AND(D22="Raw",E22="MP"),0.5,IF(AND(D22="Raw",E22="HP"),0.4,IF(AND(D22="Raw",E22="DM"),0.3,0)))))))))))))))))))))))))))))))</f>
        <v/>
      </c>
      <c r="H22" s="46" t="str">
        <f aca="false">IF(OR(C22="",G22=0),"",ROUND(C22*G22,0))</f>
        <v/>
      </c>
      <c r="I22" s="47" t="str">
        <f aca="false">IF(C22="","",IF(D22="Raw",2.5,5))</f>
        <v/>
      </c>
      <c r="J22" s="47" t="str">
        <f aca="false">IF(OR(C22="",G22=0),"",H22+I22)</f>
        <v/>
      </c>
      <c r="K22" s="47" t="str">
        <f aca="false">IF(OR(C22="",G22=0),"",C22*0.9-J22)</f>
        <v/>
      </c>
    </row>
    <row r="23" customFormat="false" ht="15" hidden="false" customHeight="false" outlineLevel="0" collapsed="false">
      <c r="A23" s="48" t="n">
        <v>20</v>
      </c>
      <c r="B23" s="43"/>
      <c r="C23" s="44"/>
      <c r="D23" s="43" t="s">
        <v>13</v>
      </c>
      <c r="E23" s="43" t="s">
        <v>16</v>
      </c>
      <c r="F23" s="43" t="s">
        <v>19</v>
      </c>
      <c r="G23" s="49" t="str">
        <f aca="false">IF(C23="","",IF(AND(D23="PSA",E23="10",F23="Vintage"),0.73,IF(AND(D23="PSA",E23="10"),0.71,IF(AND(D23="PSA",E23="9"),0.62,IF(AND(D23="PSA",E23="8",F23="Vintage"),0.62,IF(AND(D23="PSA",E23="8"),0.55,IF(AND(D23="PSA",OR(E23="7-",E23="8.5"),F23="Vintage"),0.55,IF(AND(D23="PSA",OR(E23="7-",E23="8.5")),0,IF(AND(D23="CGC",E23="10"),0.68,IF(AND(D23="CGC",E23="9.5",F23="Vintage"),0.7,IF(AND(D23="CGC",E23="9.5"),0.67,IF(AND(D23="CGC",E23="9"),0.58,IF(AND(D23="CGC",E23="8.5",F23="Vintage"),0.58,IF(AND(D23="CGC",E23="8.5"),0.52,IF(AND(D23="CGC",OR(E23="8",E23="7-"),F23="Vintage"),0.52,IF(AND(D23="CGC",OR(E23="8",E23="7-")),0,IF(AND(D23="BGS",E23="BL"),0.75,IF(AND(D23="BGS",E23="10"),0.72,IF(AND(D23="BGS",E23="9.5",F23="Vintage"),0.7,IF(AND(D23="BGS",E23="9.5"),0.67,IF(AND(D23="BGS",E23="9"),0.58,IF(AND(D23="BGS",OR(E23="8.5",E23="8",E23="7-"),F23="Vintage"),0.55,IF(AND(D23="BGS",OR(E23="8.5",E23="8",E23="7-")),0,IF(AND(D23="Raw",E23="NM",C23&gt;=50),0.72,IF(AND(D23="Raw",E23="NM"),0.7,IF(AND(D23="Raw",E23="LP",C23&gt;=50),0.63,IF(AND(D23="Raw",E23="LP"),0.6,IF(AND(D23="Raw",E23="MP",C23&gt;=50),0.53,IF(AND(D23="Raw",E23="MP"),0.5,IF(AND(D23="Raw",E23="HP"),0.4,IF(AND(D23="Raw",E23="DM"),0.3,0)))))))))))))))))))))))))))))))</f>
        <v/>
      </c>
      <c r="H23" s="50" t="str">
        <f aca="false">IF(OR(C23="",G23=0),"",ROUND(C23*G23,0))</f>
        <v/>
      </c>
      <c r="I23" s="19" t="str">
        <f aca="false">IF(C23="","",IF(D23="Raw",2.5,5))</f>
        <v/>
      </c>
      <c r="J23" s="19" t="str">
        <f aca="false">IF(OR(C23="",G23=0),"",H23+I23)</f>
        <v/>
      </c>
      <c r="K23" s="19" t="str">
        <f aca="false">IF(OR(C23="",G23=0),"",C23*0.9-J23)</f>
        <v/>
      </c>
    </row>
    <row r="24" customFormat="false" ht="15" hidden="false" customHeight="false" outlineLevel="0" collapsed="false">
      <c r="A24" s="51" t="s">
        <v>174</v>
      </c>
      <c r="B24" s="52"/>
      <c r="C24" s="52"/>
      <c r="D24" s="52"/>
      <c r="E24" s="52"/>
      <c r="F24" s="52"/>
      <c r="G24" s="52"/>
      <c r="H24" s="53" t="n">
        <f aca="false">SUM(H4:H23)</f>
        <v>0</v>
      </c>
      <c r="I24" s="52"/>
      <c r="J24" s="53" t="n">
        <f aca="false">SUM(J4:J23)</f>
        <v>0</v>
      </c>
      <c r="K24" s="54" t="n">
        <f aca="false">SUM(K4:K23)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2026-02-11T17:20:39Z</dcterms:created>
  <dc:creator>openpyxl</dc:creator>
  <dc:description/>
  <dc:language>en-US</dc:language>
  <cp:lastModifiedBy/>
  <dcterms:modified xsi:type="dcterms:W3CDTF">2026-02-11T17:20:39Z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